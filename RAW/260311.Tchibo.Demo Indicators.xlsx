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C:\Users\trang.lieu\Desktop\Tchibo files\M&amp;E\"/>
    </mc:Choice>
  </mc:AlternateContent>
  <xr:revisionPtr revIDLastSave="0" documentId="13_ncr:1_{A9C369A8-F72F-4992-8D57-80910C0E06D8}" xr6:coauthVersionLast="47" xr6:coauthVersionMax="47" xr10:uidLastSave="{00000000-0000-0000-0000-000000000000}"/>
  <bookViews>
    <workbookView xWindow="-110" yWindow="-110" windowWidth="19420" windowHeight="10300" xr2:uid="{EA122736-2FA0-4434-8D9B-8DEDE5A67FD3}"/>
  </bookViews>
  <sheets>
    <sheet name="Initial year" sheetId="1" r:id="rId1"/>
    <sheet name="Coffee" sheetId="2" r:id="rId2"/>
    <sheet name="Intercrop"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0" i="3" l="1"/>
  <c r="G41" i="3"/>
  <c r="G42" i="3"/>
  <c r="G43" i="3"/>
  <c r="G44" i="3"/>
  <c r="G39" i="3"/>
  <c r="G30" i="3"/>
  <c r="G31" i="3"/>
  <c r="G32" i="3"/>
  <c r="G33" i="3"/>
  <c r="G34" i="3"/>
  <c r="G35" i="3"/>
  <c r="G36" i="3"/>
  <c r="G37" i="3"/>
  <c r="F24" i="3"/>
  <c r="F23" i="3"/>
  <c r="F22" i="3"/>
  <c r="F21" i="3"/>
  <c r="F17" i="3"/>
  <c r="F16" i="3" s="1"/>
  <c r="F18" i="3"/>
  <c r="F19" i="3"/>
  <c r="F9" i="3"/>
  <c r="F10" i="3"/>
  <c r="F11" i="3"/>
  <c r="F8" i="3"/>
  <c r="F101" i="2"/>
  <c r="G84" i="2"/>
  <c r="G85" i="2"/>
  <c r="G86" i="2"/>
  <c r="G87" i="2"/>
  <c r="G88" i="2"/>
  <c r="G89" i="2"/>
  <c r="G90" i="2"/>
  <c r="G91" i="2"/>
  <c r="G92" i="2"/>
  <c r="G93" i="2"/>
  <c r="G94" i="2"/>
  <c r="G95" i="2"/>
  <c r="G96" i="2"/>
  <c r="G97" i="2"/>
  <c r="G83" i="2"/>
  <c r="G62" i="2"/>
  <c r="G63" i="2"/>
  <c r="G64" i="2"/>
  <c r="G65" i="2"/>
  <c r="G66" i="2"/>
  <c r="G67" i="2"/>
  <c r="G68" i="2"/>
  <c r="G69" i="2"/>
  <c r="G70" i="2"/>
  <c r="G71" i="2"/>
  <c r="G72" i="2"/>
  <c r="G73" i="2"/>
  <c r="G74" i="2"/>
  <c r="G75" i="2"/>
  <c r="G76" i="2"/>
  <c r="G77" i="2"/>
  <c r="G78" i="2"/>
  <c r="G79" i="2"/>
  <c r="G80" i="2"/>
  <c r="G81" i="2"/>
  <c r="G56" i="2"/>
  <c r="F44" i="2"/>
  <c r="F45" i="2"/>
  <c r="F46" i="2"/>
  <c r="F43" i="2"/>
  <c r="F18" i="2"/>
  <c r="F55" i="3"/>
  <c r="F54" i="3"/>
  <c r="F53" i="3"/>
  <c r="F52" i="3"/>
  <c r="F51" i="3"/>
  <c r="F50" i="3"/>
  <c r="F106" i="2"/>
  <c r="F105" i="2"/>
  <c r="F104" i="2"/>
  <c r="F103" i="2"/>
  <c r="F102" i="2"/>
  <c r="G60" i="2"/>
  <c r="G59" i="2"/>
  <c r="G58" i="2"/>
  <c r="G57" i="2"/>
  <c r="G50" i="2" s="1"/>
  <c r="F41" i="2"/>
  <c r="F40" i="2"/>
  <c r="F39" i="2"/>
  <c r="F37" i="2"/>
  <c r="F36" i="2"/>
  <c r="F35" i="2"/>
  <c r="F34" i="2"/>
  <c r="F32" i="2"/>
  <c r="F31" i="2"/>
  <c r="F30" i="2"/>
  <c r="F29" i="2"/>
  <c r="F27" i="2"/>
  <c r="F26" i="2"/>
  <c r="F25" i="2"/>
  <c r="F24" i="2"/>
  <c r="F23" i="2" s="1"/>
  <c r="F22" i="2"/>
  <c r="F21" i="2"/>
  <c r="F20" i="2"/>
  <c r="F19" i="2"/>
  <c r="F17" i="2" l="1"/>
  <c r="G61" i="2"/>
  <c r="G82" i="2"/>
  <c r="F38" i="2"/>
  <c r="G98" i="2"/>
  <c r="F42" i="2"/>
  <c r="G29" i="3"/>
  <c r="F20" i="3"/>
  <c r="G38" i="3"/>
  <c r="F33" i="2"/>
  <c r="F28" i="2"/>
  <c r="F47" i="2" s="1"/>
  <c r="F112" i="2" s="1"/>
  <c r="F56" i="3"/>
  <c r="F60" i="3" s="1"/>
  <c r="F107" i="2"/>
  <c r="F111" i="2" s="1"/>
  <c r="F37" i="1"/>
  <c r="F30" i="1"/>
  <c r="F27" i="1"/>
  <c r="F18" i="1"/>
  <c r="F14" i="1"/>
  <c r="F5" i="1"/>
  <c r="F113" i="2" l="1"/>
  <c r="G45" i="3"/>
  <c r="F23" i="1"/>
  <c r="F34" i="1" s="1"/>
  <c r="F7" i="3"/>
  <c r="F25" i="3" s="1"/>
  <c r="F61" i="3" l="1"/>
  <c r="F62" i="3" s="1"/>
</calcChain>
</file>

<file path=xl/sharedStrings.xml><?xml version="1.0" encoding="utf-8"?>
<sst xmlns="http://schemas.openxmlformats.org/spreadsheetml/2006/main" count="471" uniqueCount="164">
  <si>
    <t>A.</t>
  </si>
  <si>
    <t>LABOUR</t>
  </si>
  <si>
    <t>MONTH</t>
  </si>
  <si>
    <t>DESCRIPTION</t>
  </si>
  <si>
    <t>UNIT</t>
  </si>
  <si>
    <t>QUANTITY</t>
  </si>
  <si>
    <t>UNIT PRICE</t>
  </si>
  <si>
    <t>TOTAL</t>
  </si>
  <si>
    <t>REMARK</t>
  </si>
  <si>
    <t>CLEARANCE</t>
  </si>
  <si>
    <t>Uproot of aged coffee</t>
  </si>
  <si>
    <t>Pick up root -1st</t>
  </si>
  <si>
    <t>Wide plough - 1st</t>
  </si>
  <si>
    <t>Pick up root - 2nd</t>
  </si>
  <si>
    <t>Soil Analysis</t>
  </si>
  <si>
    <t>Lime application</t>
  </si>
  <si>
    <t>Wide plough - 2nd</t>
  </si>
  <si>
    <t>Dig holes</t>
  </si>
  <si>
    <t>Hole Preparation</t>
  </si>
  <si>
    <t>Plant Cassia splendida</t>
  </si>
  <si>
    <t>Plant Coffee and Shade trees</t>
  </si>
  <si>
    <t>Plant coffee seedlings</t>
  </si>
  <si>
    <t>FERTILIZER</t>
  </si>
  <si>
    <t>Round 1</t>
  </si>
  <si>
    <t>Round 2</t>
  </si>
  <si>
    <t>Round 3</t>
  </si>
  <si>
    <t>PESTICIDE</t>
  </si>
  <si>
    <t>WEEDING</t>
  </si>
  <si>
    <t>TOTAL A</t>
  </si>
  <si>
    <t>B.</t>
  </si>
  <si>
    <t>DATE</t>
  </si>
  <si>
    <t>Inputs</t>
  </si>
  <si>
    <t>Unit</t>
  </si>
  <si>
    <t>Quantity</t>
  </si>
  <si>
    <t>Unit Price</t>
  </si>
  <si>
    <t>Amount</t>
  </si>
  <si>
    <t>Remarks</t>
  </si>
  <si>
    <t>SEEDLINGS</t>
  </si>
  <si>
    <t>Coffee</t>
  </si>
  <si>
    <t>Trees</t>
  </si>
  <si>
    <t>Kg</t>
  </si>
  <si>
    <t>FERTILIZER APPLICATION R1</t>
  </si>
  <si>
    <t>Lime</t>
  </si>
  <si>
    <t>CMP</t>
  </si>
  <si>
    <t>Organic Fertilizer</t>
  </si>
  <si>
    <t>FERTILIZER APPLICATION R2</t>
  </si>
  <si>
    <t>Urea</t>
  </si>
  <si>
    <t>Potassium</t>
  </si>
  <si>
    <t>FERTILIZER APPLICATION R3</t>
  </si>
  <si>
    <t>Date</t>
  </si>
  <si>
    <t>TOTAL C</t>
  </si>
  <si>
    <t>Seq.</t>
  </si>
  <si>
    <t>Item</t>
  </si>
  <si>
    <t>………………..ngày……..tháng……….năm 20………</t>
  </si>
  <si>
    <t>TRƯỞNG CÂU LẠC BỘ</t>
  </si>
  <si>
    <t>CHỦ HỘ</t>
  </si>
  <si>
    <t>YEAR ….</t>
  </si>
  <si>
    <t>A. LABOR COSTS</t>
  </si>
  <si>
    <t>Description</t>
  </si>
  <si>
    <t>Price per 
man-day</t>
  </si>
  <si>
    <t>IRRIGATION</t>
  </si>
  <si>
    <t>1st Round</t>
  </si>
  <si>
    <t>2nd Round</t>
  </si>
  <si>
    <t>3rd Round</t>
  </si>
  <si>
    <t>4th Round</t>
  </si>
  <si>
    <t>PRUNING</t>
  </si>
  <si>
    <t>FERTILIZER APPLICATION</t>
  </si>
  <si>
    <t>AGRO-CHEMICAL USE</t>
  </si>
  <si>
    <t>HARVEST</t>
  </si>
  <si>
    <t>B: INPUT COSTS</t>
  </si>
  <si>
    <t>Equipment/spare part</t>
  </si>
  <si>
    <t>C: COFFEE REVENUE</t>
  </si>
  <si>
    <t>Collection Points/Purchasing Agents</t>
  </si>
  <si>
    <t>D: PROFIT</t>
  </si>
  <si>
    <t>TOTAL REVENUE (C)</t>
  </si>
  <si>
    <t>TOTAL COSTS (A + B)</t>
  </si>
  <si>
    <t>PROFIT (C - A - B)</t>
  </si>
  <si>
    <t>A. LABOR COSTS-INTERCROP</t>
  </si>
  <si>
    <t>C: REVENUE</t>
  </si>
  <si>
    <t>INPUT INVESTMENT</t>
  </si>
  <si>
    <t>INITIAL YEAR</t>
  </si>
  <si>
    <t>Plant Shade trees/Fruit trees</t>
  </si>
  <si>
    <t>1st Round - Fertilizer 1</t>
  </si>
  <si>
    <t>1st Round - Fertilizer 2</t>
  </si>
  <si>
    <t>1st Round - Fertilizer 3</t>
  </si>
  <si>
    <t>1st Round - Fertilizer 4</t>
  </si>
  <si>
    <t>2nd Round - Fertilizer 1</t>
  </si>
  <si>
    <t>2nd Round - Fertilizer 2</t>
  </si>
  <si>
    <t>2nd Round - Fertilizer 3</t>
  </si>
  <si>
    <t>2nd Round - Fertilizer 4</t>
  </si>
  <si>
    <t>3rd Round - Fertilizer 1</t>
  </si>
  <si>
    <t>3rd Round - Fertilizer 2</t>
  </si>
  <si>
    <t>3rd Round - Fertilizer 3</t>
  </si>
  <si>
    <t>3rd Round - Fertilizer 4</t>
  </si>
  <si>
    <t>4th Round - Fertilizer 1</t>
  </si>
  <si>
    <t>4th Round - Fertilizer 2</t>
  </si>
  <si>
    <t>4th Round - Fertilizer 3</t>
  </si>
  <si>
    <t>4th Round - Fertilizer 4</t>
  </si>
  <si>
    <t>Type</t>
  </si>
  <si>
    <t>NPK</t>
  </si>
  <si>
    <t>1st round - Fertilizer 1</t>
  </si>
  <si>
    <t>1st round - Fertilizer 2</t>
  </si>
  <si>
    <t>1st round - Agro-chemical 1</t>
  </si>
  <si>
    <t>1st round - Agro-chemical 2</t>
  </si>
  <si>
    <t>1st round - Agro-chemical 3</t>
  </si>
  <si>
    <t>1st round - Agro-chemical 4</t>
  </si>
  <si>
    <t>1st Round - Fertilizer 5</t>
  </si>
  <si>
    <t>2nd Round - Fertilizer 5</t>
  </si>
  <si>
    <t>3rd Round - Fertilizer 5</t>
  </si>
  <si>
    <t>4th Round - Fertilizer 5</t>
  </si>
  <si>
    <t>1st round - Agro-chemical 5</t>
  </si>
  <si>
    <t>2nd round - Agro-chemical 1</t>
  </si>
  <si>
    <t>2nd round - Agro-chemical 2</t>
  </si>
  <si>
    <t>2nd round - Agro-chemical 3</t>
  </si>
  <si>
    <t>2nd round - Agro-chemical 4</t>
  </si>
  <si>
    <t>2nd round - Agro-chemical 5</t>
  </si>
  <si>
    <t>Pls add fertilizer brand name</t>
  </si>
  <si>
    <t>FARM BACKGROUND</t>
  </si>
  <si>
    <t>Type of tree</t>
  </si>
  <si>
    <t>Intercrop 1</t>
  </si>
  <si>
    <t>Insert name of intercropping tree</t>
  </si>
  <si>
    <t>Intercrop 2</t>
  </si>
  <si>
    <t>Intercrop 3</t>
  </si>
  <si>
    <t>Intercrop 4</t>
  </si>
  <si>
    <t>Intercrop 5</t>
  </si>
  <si>
    <t>No. of trees</t>
  </si>
  <si>
    <t>Year 1</t>
  </si>
  <si>
    <t>Year 2</t>
  </si>
  <si>
    <t>Year 3</t>
  </si>
  <si>
    <t>Year 4</t>
  </si>
  <si>
    <t>4+</t>
  </si>
  <si>
    <t>Only record the types of fertilizers specifically for intercrops, not applied to coffee trees
Pls add fertilizer brand name</t>
  </si>
  <si>
    <t>kg</t>
  </si>
  <si>
    <t>3rd round - Agro-chemical 1</t>
  </si>
  <si>
    <t>3rd round - Agro-chemical 2</t>
  </si>
  <si>
    <t>3rd round - Agro-chemical 3</t>
  </si>
  <si>
    <t>3rd round - Agro-chemical 4</t>
  </si>
  <si>
    <t>3rd round - Agro-chemical 5</t>
  </si>
  <si>
    <t>TOTAL B</t>
  </si>
  <si>
    <t>Manday</t>
  </si>
  <si>
    <t>Apply and mix organic fertilizer</t>
  </si>
  <si>
    <t>Apply and mix CMP with soil</t>
  </si>
  <si>
    <t>Cassia splendida seeds</t>
  </si>
  <si>
    <t>PESTICIDE APPLICATION R1</t>
  </si>
  <si>
    <t>Type of Pesticide</t>
  </si>
  <si>
    <t>PESTICIDE APPLICATION R2</t>
  </si>
  <si>
    <t>Kg/Liter</t>
  </si>
  <si>
    <t>Diesel of Round 1</t>
  </si>
  <si>
    <t>Diesel of Round 2</t>
  </si>
  <si>
    <t>Electricity of Round 1</t>
  </si>
  <si>
    <t>Electricity of Round 2</t>
  </si>
  <si>
    <t>Diesel of Round 3</t>
  </si>
  <si>
    <t>Electricity of Round 3</t>
  </si>
  <si>
    <t>Diesel of Round 4</t>
  </si>
  <si>
    <t>Electricity of Round 4</t>
  </si>
  <si>
    <t>Diesel of Round 5</t>
  </si>
  <si>
    <t>Electricity of Round 5</t>
  </si>
  <si>
    <t>Liter</t>
  </si>
  <si>
    <t>Kwh</t>
  </si>
  <si>
    <t>Please specify the form of coffee sold: Fresh cherry, Dried cherry, or Green bean</t>
  </si>
  <si>
    <t>Kg/Litre</t>
  </si>
  <si>
    <t>1. Please instruct farmers to circle the correct unit for each record
2. Pls add agro-chemical brand name
3. Please help farmers convert to liters if they measure usage using bottle</t>
  </si>
  <si>
    <t>1. Only record the types of agro-chemical specifically for intercrops, not applied to coffee trees
2. Please instruct farmers to circle the correct unit for each record
3. Pls add brand name
4. Please help farmers convert to liters if they measure usage using bottle</t>
  </si>
  <si>
    <t>Please circle the correct unit for each record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</si>
</sst>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0">
    <font>
      <sz val="11"/>
      <name val="UVnTime"/>
    </font>
    <font>
      <sz val="11"/>
      <name val="UVnTime"/>
    </font>
    <font>
      <sz val="16"/>
      <name val="Verdana"/>
      <family val="2"/>
    </font>
    <font>
      <sz val="10"/>
      <name val="Verdana"/>
      <family val="2"/>
    </font>
    <font>
      <b/>
      <sz val="10"/>
      <name val="Verdana"/>
      <family val="2"/>
    </font>
    <font>
      <i/>
      <sz val="10"/>
      <name val="Verdana"/>
      <family val="2"/>
    </font>
    <font>
      <sz val="10"/>
      <color rgb="FFFF0000"/>
      <name val="Verdana"/>
      <family val="2"/>
    </font>
    <font>
      <i/>
      <sz val="10"/>
      <color rgb="FFFF0000"/>
      <name val="Verdana"/>
      <family val="2"/>
    </font>
    <font>
      <b/>
      <sz val="12"/>
      <name val="Verdana"/>
      <family val="2"/>
    </font>
    <font>
      <b/>
      <sz val="11"/>
      <name val="Verdana"/>
      <family val="2"/>
    </font>
  </fonts>
  <fills count="8">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indexed="43"/>
        <bgColor indexed="64"/>
      </patternFill>
    </fill>
    <fill>
      <patternFill patternType="solid">
        <fgColor indexed="47"/>
        <bgColor indexed="64"/>
      </patternFill>
    </fill>
    <fill>
      <patternFill patternType="solid">
        <fgColor indexed="41"/>
        <bgColor indexed="64"/>
      </patternFill>
    </fill>
    <fill>
      <patternFill patternType="solid">
        <fgColor theme="9" tint="0.79998168889431442"/>
        <bgColor indexed="64"/>
      </patternFill>
    </fill>
  </fills>
  <borders count="23">
    <border>
      <left/>
      <right/>
      <top/>
      <bottom/>
      <diagonal/>
    </border>
    <border>
      <left/>
      <right/>
      <top/>
      <bottom style="medium">
        <color indexed="23"/>
      </bottom>
      <diagonal/>
    </border>
    <border>
      <left style="medium">
        <color indexed="23"/>
      </left>
      <right style="medium">
        <color indexed="23"/>
      </right>
      <top style="medium">
        <color indexed="23"/>
      </top>
      <bottom style="thin">
        <color indexed="23"/>
      </bottom>
      <diagonal/>
    </border>
    <border>
      <left style="medium">
        <color indexed="23"/>
      </left>
      <right style="medium">
        <color indexed="23"/>
      </right>
      <top style="thin">
        <color indexed="23"/>
      </top>
      <bottom style="thin">
        <color indexed="23"/>
      </bottom>
      <diagonal/>
    </border>
    <border>
      <left style="medium">
        <color indexed="23"/>
      </left>
      <right style="medium">
        <color indexed="23"/>
      </right>
      <top style="thin">
        <color indexed="23"/>
      </top>
      <bottom style="medium">
        <color indexed="23"/>
      </bottom>
      <diagonal/>
    </border>
    <border>
      <left/>
      <right/>
      <top style="medium">
        <color indexed="23"/>
      </top>
      <bottom style="medium">
        <color indexed="23"/>
      </bottom>
      <diagonal/>
    </border>
    <border>
      <left style="medium">
        <color indexed="23"/>
      </left>
      <right style="medium">
        <color indexed="23"/>
      </right>
      <top/>
      <bottom style="thin">
        <color indexed="23"/>
      </bottom>
      <diagonal/>
    </border>
    <border>
      <left style="medium">
        <color indexed="23"/>
      </left>
      <right style="medium">
        <color indexed="23"/>
      </right>
      <top style="thin">
        <color indexed="23"/>
      </top>
      <bottom/>
      <diagonal/>
    </border>
    <border>
      <left style="medium">
        <color indexed="23"/>
      </left>
      <right style="medium">
        <color indexed="23"/>
      </right>
      <top/>
      <bottom/>
      <diagonal/>
    </border>
    <border>
      <left style="thin">
        <color indexed="64"/>
      </left>
      <right style="thin">
        <color indexed="64"/>
      </right>
      <top style="thin">
        <color indexed="64"/>
      </top>
      <bottom style="thin">
        <color indexed="64"/>
      </bottom>
      <diagonal/>
    </border>
    <border>
      <left style="medium">
        <color indexed="23"/>
      </left>
      <right/>
      <top style="thin">
        <color indexed="23"/>
      </top>
      <bottom style="thin">
        <color indexed="23"/>
      </bottom>
      <diagonal/>
    </border>
    <border>
      <left/>
      <right style="medium">
        <color indexed="23"/>
      </right>
      <top style="thin">
        <color indexed="23"/>
      </top>
      <bottom style="thin">
        <color indexed="23"/>
      </bottom>
      <diagonal/>
    </border>
    <border>
      <left style="medium">
        <color indexed="23"/>
      </left>
      <right/>
      <top style="medium">
        <color indexed="23"/>
      </top>
      <bottom style="thin">
        <color indexed="23"/>
      </bottom>
      <diagonal/>
    </border>
    <border>
      <left/>
      <right style="medium">
        <color indexed="23"/>
      </right>
      <top style="medium">
        <color indexed="23"/>
      </top>
      <bottom style="thin">
        <color indexed="23"/>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23"/>
      </top>
      <bottom style="thin">
        <color indexed="23"/>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18">
    <xf numFmtId="0" fontId="0" fillId="0" borderId="0" xfId="0"/>
    <xf numFmtId="0" fontId="3" fillId="0" borderId="0" xfId="0" applyFont="1"/>
    <xf numFmtId="0" fontId="4" fillId="0" borderId="1" xfId="0" applyFont="1" applyBorder="1" applyAlignment="1">
      <alignment horizontal="right"/>
    </xf>
    <xf numFmtId="0" fontId="4" fillId="0" borderId="1" xfId="0" applyFont="1" applyBorder="1"/>
    <xf numFmtId="0" fontId="5" fillId="0" borderId="0" xfId="0" applyFont="1" applyAlignment="1">
      <alignment horizontal="right"/>
    </xf>
    <xf numFmtId="0" fontId="4" fillId="2" borderId="2" xfId="0" applyFont="1" applyFill="1" applyBorder="1" applyAlignment="1">
      <alignment horizontal="center" vertical="center" wrapText="1"/>
    </xf>
    <xf numFmtId="49" fontId="3" fillId="2" borderId="3" xfId="0" applyNumberFormat="1" applyFont="1" applyFill="1" applyBorder="1" applyAlignment="1">
      <alignment horizontal="right"/>
    </xf>
    <xf numFmtId="0" fontId="4" fillId="2" borderId="3" xfId="0" applyFont="1" applyFill="1" applyBorder="1"/>
    <xf numFmtId="0" fontId="3" fillId="2" borderId="3" xfId="0" applyFont="1" applyFill="1" applyBorder="1"/>
    <xf numFmtId="164" fontId="3" fillId="2" borderId="3" xfId="0" applyNumberFormat="1" applyFont="1" applyFill="1" applyBorder="1"/>
    <xf numFmtId="0" fontId="3" fillId="0" borderId="3" xfId="0" applyFont="1" applyBorder="1"/>
    <xf numFmtId="164" fontId="3" fillId="3" borderId="3" xfId="1" applyNumberFormat="1" applyFont="1" applyFill="1" applyBorder="1" applyAlignment="1"/>
    <xf numFmtId="0" fontId="3" fillId="3" borderId="3" xfId="0" applyFont="1" applyFill="1" applyBorder="1"/>
    <xf numFmtId="164" fontId="3" fillId="2" borderId="3" xfId="1" applyNumberFormat="1" applyFont="1" applyFill="1" applyBorder="1" applyAlignment="1"/>
    <xf numFmtId="164" fontId="3" fillId="0" borderId="3" xfId="1" applyNumberFormat="1" applyFont="1" applyFill="1" applyBorder="1" applyAlignment="1" applyProtection="1">
      <alignment wrapText="1"/>
      <protection hidden="1"/>
    </xf>
    <xf numFmtId="0" fontId="3" fillId="0" borderId="3" xfId="0" applyFont="1" applyBorder="1" applyAlignment="1" applyProtection="1">
      <alignment wrapText="1"/>
      <protection hidden="1"/>
    </xf>
    <xf numFmtId="164" fontId="3" fillId="0" borderId="3" xfId="1" applyNumberFormat="1" applyFont="1" applyBorder="1" applyAlignment="1"/>
    <xf numFmtId="0" fontId="3" fillId="2" borderId="4" xfId="0" applyFont="1" applyFill="1" applyBorder="1"/>
    <xf numFmtId="0" fontId="4" fillId="2" borderId="4" xfId="0" applyFont="1" applyFill="1" applyBorder="1" applyAlignment="1">
      <alignment horizontal="center"/>
    </xf>
    <xf numFmtId="164" fontId="3" fillId="2" borderId="4" xfId="1" applyNumberFormat="1" applyFont="1" applyFill="1" applyBorder="1" applyAlignment="1"/>
    <xf numFmtId="164" fontId="4" fillId="2" borderId="4" xfId="1" applyNumberFormat="1" applyFont="1" applyFill="1" applyBorder="1" applyAlignment="1"/>
    <xf numFmtId="0" fontId="4" fillId="0" borderId="5" xfId="0" applyFont="1" applyBorder="1" applyAlignment="1">
      <alignment horizontal="right"/>
    </xf>
    <xf numFmtId="0" fontId="4" fillId="0" borderId="5" xfId="0" applyFont="1" applyBorder="1"/>
    <xf numFmtId="0" fontId="4" fillId="4" borderId="2"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4" fillId="4" borderId="6" xfId="0" applyFont="1" applyFill="1" applyBorder="1" applyAlignment="1">
      <alignment vertical="center" wrapText="1"/>
    </xf>
    <xf numFmtId="164" fontId="3" fillId="4" borderId="6" xfId="0" applyNumberFormat="1" applyFont="1" applyFill="1" applyBorder="1" applyAlignment="1">
      <alignment horizontal="center" vertical="center" wrapText="1"/>
    </xf>
    <xf numFmtId="0" fontId="4" fillId="0" borderId="6" xfId="0" applyFont="1" applyBorder="1" applyAlignment="1">
      <alignment horizontal="center" vertical="center" wrapText="1"/>
    </xf>
    <xf numFmtId="0" fontId="3" fillId="0" borderId="6" xfId="0" applyFont="1" applyBorder="1" applyAlignment="1">
      <alignment vertical="center" wrapText="1"/>
    </xf>
    <xf numFmtId="164" fontId="3" fillId="0" borderId="6" xfId="1" applyNumberFormat="1" applyFont="1" applyFill="1" applyBorder="1" applyAlignment="1">
      <alignment vertical="center" wrapText="1"/>
    </xf>
    <xf numFmtId="0" fontId="3" fillId="4" borderId="3" xfId="0" applyFont="1" applyFill="1" applyBorder="1"/>
    <xf numFmtId="0" fontId="4" fillId="4" borderId="3" xfId="0" applyFont="1" applyFill="1" applyBorder="1"/>
    <xf numFmtId="164" fontId="3" fillId="4" borderId="3" xfId="1" applyNumberFormat="1" applyFont="1" applyFill="1" applyBorder="1" applyAlignment="1"/>
    <xf numFmtId="164" fontId="3" fillId="0" borderId="3" xfId="1" applyNumberFormat="1" applyFont="1" applyFill="1" applyBorder="1" applyAlignment="1"/>
    <xf numFmtId="0" fontId="3" fillId="4" borderId="4" xfId="0" applyFont="1" applyFill="1" applyBorder="1"/>
    <xf numFmtId="0" fontId="4" fillId="4" borderId="4" xfId="0" applyFont="1" applyFill="1" applyBorder="1" applyAlignment="1">
      <alignment horizontal="center"/>
    </xf>
    <xf numFmtId="164" fontId="4" fillId="4" borderId="4" xfId="0" applyNumberFormat="1" applyFont="1" applyFill="1" applyBorder="1"/>
    <xf numFmtId="0" fontId="4" fillId="0" borderId="0" xfId="0" applyFont="1" applyAlignment="1">
      <alignment horizontal="center"/>
    </xf>
    <xf numFmtId="164" fontId="3" fillId="0" borderId="0" xfId="0" applyNumberFormat="1" applyFont="1"/>
    <xf numFmtId="0" fontId="4" fillId="5" borderId="2" xfId="0" applyFont="1" applyFill="1" applyBorder="1" applyAlignment="1">
      <alignment horizontal="center" vertical="center" wrapText="1"/>
    </xf>
    <xf numFmtId="0" fontId="3" fillId="5" borderId="4" xfId="0" applyFont="1" applyFill="1" applyBorder="1"/>
    <xf numFmtId="0" fontId="4" fillId="5" borderId="4" xfId="0" applyFont="1" applyFill="1" applyBorder="1" applyAlignment="1">
      <alignment horizontal="center"/>
    </xf>
    <xf numFmtId="0" fontId="4" fillId="6" borderId="2" xfId="0" applyFont="1" applyFill="1" applyBorder="1" applyAlignment="1">
      <alignment horizontal="center" vertical="center" wrapText="1"/>
    </xf>
    <xf numFmtId="0" fontId="4" fillId="6" borderId="3" xfId="0" applyFont="1" applyFill="1" applyBorder="1"/>
    <xf numFmtId="0" fontId="3" fillId="6" borderId="4" xfId="0" applyFont="1" applyFill="1" applyBorder="1"/>
    <xf numFmtId="0" fontId="4" fillId="6" borderId="4" xfId="0" applyFont="1" applyFill="1" applyBorder="1"/>
    <xf numFmtId="0" fontId="3" fillId="7" borderId="0" xfId="0" applyFont="1" applyFill="1"/>
    <xf numFmtId="43" fontId="3" fillId="0" borderId="0" xfId="0" applyNumberFormat="1" applyFont="1"/>
    <xf numFmtId="164" fontId="3" fillId="0" borderId="0" xfId="1" applyNumberFormat="1" applyFont="1" applyBorder="1"/>
    <xf numFmtId="164" fontId="3" fillId="0" borderId="0" xfId="1" applyNumberFormat="1" applyFont="1"/>
    <xf numFmtId="164" fontId="4" fillId="4" borderId="2" xfId="1" applyNumberFormat="1" applyFont="1" applyFill="1" applyBorder="1" applyAlignment="1">
      <alignment horizontal="center" vertical="center" wrapText="1"/>
    </xf>
    <xf numFmtId="164" fontId="4" fillId="5" borderId="2" xfId="1" applyNumberFormat="1" applyFont="1" applyFill="1" applyBorder="1" applyAlignment="1">
      <alignment horizontal="center" vertical="center" wrapText="1"/>
    </xf>
    <xf numFmtId="164" fontId="3" fillId="0" borderId="3" xfId="1" applyNumberFormat="1" applyFont="1" applyBorder="1"/>
    <xf numFmtId="164" fontId="3" fillId="5" borderId="4" xfId="1" applyNumberFormat="1" applyFont="1" applyFill="1" applyBorder="1" applyAlignment="1"/>
    <xf numFmtId="164" fontId="4" fillId="6" borderId="2" xfId="1" applyNumberFormat="1" applyFont="1" applyFill="1" applyBorder="1" applyAlignment="1">
      <alignment horizontal="center" vertical="center" wrapText="1"/>
    </xf>
    <xf numFmtId="164" fontId="3" fillId="6" borderId="4" xfId="1" applyNumberFormat="1" applyFont="1" applyFill="1" applyBorder="1"/>
    <xf numFmtId="9" fontId="3" fillId="0" borderId="0" xfId="2" applyFont="1"/>
    <xf numFmtId="0" fontId="3" fillId="0" borderId="7" xfId="0" applyFont="1" applyBorder="1"/>
    <xf numFmtId="0" fontId="3" fillId="0" borderId="9" xfId="0" applyFont="1" applyBorder="1"/>
    <xf numFmtId="0" fontId="4" fillId="4" borderId="6" xfId="0" applyFont="1" applyFill="1" applyBorder="1"/>
    <xf numFmtId="0" fontId="3" fillId="4" borderId="9" xfId="0" applyFont="1" applyFill="1" applyBorder="1"/>
    <xf numFmtId="0" fontId="4" fillId="4" borderId="9" xfId="0" applyFont="1" applyFill="1" applyBorder="1"/>
    <xf numFmtId="164" fontId="3" fillId="4" borderId="9" xfId="1" applyNumberFormat="1" applyFont="1" applyFill="1" applyBorder="1" applyAlignment="1"/>
    <xf numFmtId="0" fontId="4" fillId="0" borderId="9" xfId="0" applyFont="1" applyBorder="1" applyAlignment="1">
      <alignment horizontal="left"/>
    </xf>
    <xf numFmtId="164" fontId="3" fillId="0" borderId="9" xfId="1" applyNumberFormat="1" applyFont="1" applyBorder="1"/>
    <xf numFmtId="0" fontId="4" fillId="4" borderId="13" xfId="0" applyFont="1" applyFill="1" applyBorder="1" applyAlignment="1">
      <alignment horizontal="center" vertical="center" wrapText="1"/>
    </xf>
    <xf numFmtId="0" fontId="4" fillId="4" borderId="12" xfId="0" applyFont="1" applyFill="1" applyBorder="1" applyAlignment="1">
      <alignment vertical="center" wrapText="1"/>
    </xf>
    <xf numFmtId="0" fontId="4" fillId="4" borderId="10" xfId="0" applyFont="1" applyFill="1" applyBorder="1"/>
    <xf numFmtId="0" fontId="3" fillId="0" borderId="10" xfId="0" applyFont="1" applyBorder="1"/>
    <xf numFmtId="0" fontId="3" fillId="4" borderId="11" xfId="0" applyFont="1" applyFill="1" applyBorder="1"/>
    <xf numFmtId="0" fontId="3" fillId="0" borderId="11" xfId="0" applyFont="1" applyBorder="1"/>
    <xf numFmtId="0" fontId="4" fillId="4" borderId="9" xfId="0" applyFont="1" applyFill="1" applyBorder="1" applyAlignment="1">
      <alignment vertical="center" wrapText="1"/>
    </xf>
    <xf numFmtId="0" fontId="7" fillId="3" borderId="3" xfId="0" applyFont="1" applyFill="1" applyBorder="1"/>
    <xf numFmtId="0" fontId="7" fillId="0" borderId="3" xfId="0" applyFont="1" applyBorder="1"/>
    <xf numFmtId="0" fontId="3" fillId="0" borderId="9" xfId="0" applyFont="1" applyBorder="1" applyAlignment="1">
      <alignment horizontal="center"/>
    </xf>
    <xf numFmtId="0" fontId="7" fillId="0" borderId="14" xfId="0" applyFont="1" applyBorder="1"/>
    <xf numFmtId="0" fontId="4" fillId="0" borderId="9" xfId="0" applyFont="1" applyBorder="1" applyAlignment="1">
      <alignment horizontal="center" vertical="center"/>
    </xf>
    <xf numFmtId="0" fontId="4" fillId="4" borderId="7" xfId="0" applyFont="1" applyFill="1" applyBorder="1" applyAlignment="1">
      <alignment horizontal="center" vertical="center"/>
    </xf>
    <xf numFmtId="164" fontId="4" fillId="4" borderId="7" xfId="1" applyNumberFormat="1" applyFont="1" applyFill="1" applyBorder="1" applyAlignment="1">
      <alignment horizontal="center" vertical="center"/>
    </xf>
    <xf numFmtId="0" fontId="7" fillId="0" borderId="9" xfId="0" applyFont="1" applyBorder="1" applyAlignment="1">
      <alignment wrapText="1"/>
    </xf>
    <xf numFmtId="0" fontId="3" fillId="3" borderId="0" xfId="0" applyFont="1" applyFill="1"/>
    <xf numFmtId="164" fontId="3" fillId="3" borderId="0" xfId="1" applyNumberFormat="1" applyFont="1" applyFill="1" applyBorder="1" applyAlignment="1"/>
    <xf numFmtId="0" fontId="3" fillId="3" borderId="7" xfId="0" applyFont="1" applyFill="1" applyBorder="1"/>
    <xf numFmtId="164" fontId="3" fillId="3" borderId="7" xfId="1" applyNumberFormat="1" applyFont="1" applyFill="1" applyBorder="1" applyAlignment="1"/>
    <xf numFmtId="0" fontId="3" fillId="3" borderId="9" xfId="0" applyFont="1" applyFill="1" applyBorder="1"/>
    <xf numFmtId="164" fontId="3" fillId="3" borderId="9" xfId="1" applyNumberFormat="1" applyFont="1" applyFill="1" applyBorder="1" applyAlignment="1"/>
    <xf numFmtId="0" fontId="3" fillId="4" borderId="8" xfId="0" applyFont="1" applyFill="1" applyBorder="1"/>
    <xf numFmtId="0" fontId="4" fillId="4" borderId="8" xfId="0" applyFont="1" applyFill="1" applyBorder="1"/>
    <xf numFmtId="164" fontId="3" fillId="4" borderId="8" xfId="1" applyNumberFormat="1" applyFont="1" applyFill="1" applyBorder="1" applyAlignment="1"/>
    <xf numFmtId="0" fontId="3" fillId="0" borderId="21" xfId="0" applyFont="1" applyBorder="1"/>
    <xf numFmtId="0" fontId="3" fillId="3" borderId="21" xfId="0" applyFont="1" applyFill="1" applyBorder="1"/>
    <xf numFmtId="164" fontId="3" fillId="3" borderId="21" xfId="1" applyNumberFormat="1" applyFont="1" applyFill="1" applyBorder="1" applyAlignment="1"/>
    <xf numFmtId="164" fontId="3" fillId="0" borderId="9" xfId="1" applyNumberFormat="1" applyFont="1" applyFill="1" applyBorder="1" applyAlignment="1"/>
    <xf numFmtId="0" fontId="4" fillId="4" borderId="9" xfId="0" applyFont="1" applyFill="1" applyBorder="1" applyAlignment="1">
      <alignment horizontal="center" vertical="center"/>
    </xf>
    <xf numFmtId="164" fontId="4" fillId="4" borderId="9" xfId="1" applyNumberFormat="1" applyFont="1" applyFill="1" applyBorder="1" applyAlignment="1">
      <alignment horizontal="center" vertical="center"/>
    </xf>
    <xf numFmtId="164" fontId="4" fillId="4" borderId="9" xfId="0" applyNumberFormat="1" applyFont="1" applyFill="1" applyBorder="1" applyAlignment="1">
      <alignment horizontal="center" vertical="center"/>
    </xf>
    <xf numFmtId="0" fontId="7" fillId="3" borderId="3" xfId="0" applyFont="1" applyFill="1" applyBorder="1" applyAlignment="1">
      <alignment wrapText="1"/>
    </xf>
    <xf numFmtId="0" fontId="6" fillId="0" borderId="3" xfId="0" applyFont="1" applyBorder="1" applyAlignment="1">
      <alignment wrapText="1"/>
    </xf>
    <xf numFmtId="0" fontId="6" fillId="3" borderId="7" xfId="0" applyFont="1" applyFill="1" applyBorder="1" applyAlignment="1">
      <alignment wrapText="1"/>
    </xf>
    <xf numFmtId="0" fontId="3" fillId="4" borderId="3" xfId="0" applyFont="1" applyFill="1" applyBorder="1" applyAlignment="1">
      <alignment wrapText="1"/>
    </xf>
    <xf numFmtId="0" fontId="4" fillId="0" borderId="0" xfId="0" applyFont="1" applyAlignment="1">
      <alignment horizontal="center"/>
    </xf>
    <xf numFmtId="0" fontId="2" fillId="0" borderId="0" xfId="0" applyFont="1" applyAlignment="1">
      <alignment horizontal="center"/>
    </xf>
    <xf numFmtId="0" fontId="4" fillId="0" borderId="0" xfId="0" applyFont="1" applyAlignment="1">
      <alignment horizontal="left"/>
    </xf>
    <xf numFmtId="0" fontId="5" fillId="0" borderId="0" xfId="0" applyFont="1" applyAlignment="1">
      <alignment horizontal="center"/>
    </xf>
    <xf numFmtId="0" fontId="4" fillId="4" borderId="9" xfId="0" applyFont="1" applyFill="1" applyBorder="1" applyAlignment="1">
      <alignment horizontal="center" vertical="center"/>
    </xf>
    <xf numFmtId="0" fontId="8" fillId="0" borderId="14" xfId="0" applyFont="1" applyBorder="1" applyAlignment="1">
      <alignment horizontal="center"/>
    </xf>
    <xf numFmtId="0" fontId="8" fillId="0" borderId="15" xfId="0" applyFont="1" applyBorder="1" applyAlignment="1">
      <alignment horizontal="center"/>
    </xf>
    <xf numFmtId="0" fontId="8" fillId="0" borderId="16" xfId="0" applyFont="1" applyBorder="1" applyAlignment="1">
      <alignment horizontal="center"/>
    </xf>
    <xf numFmtId="0" fontId="4" fillId="4" borderId="10" xfId="0" applyFont="1" applyFill="1" applyBorder="1" applyAlignment="1">
      <alignment horizontal="center"/>
    </xf>
    <xf numFmtId="0" fontId="4" fillId="4" borderId="22" xfId="0" applyFont="1" applyFill="1" applyBorder="1" applyAlignment="1">
      <alignment horizontal="center"/>
    </xf>
    <xf numFmtId="0" fontId="3" fillId="0" borderId="14" xfId="0" applyFont="1" applyBorder="1" applyAlignment="1">
      <alignment horizontal="center"/>
    </xf>
    <xf numFmtId="0" fontId="3" fillId="0" borderId="15" xfId="0" applyFont="1" applyBorder="1" applyAlignment="1">
      <alignment horizontal="center"/>
    </xf>
    <xf numFmtId="0" fontId="4" fillId="0" borderId="17" xfId="0" applyFont="1" applyBorder="1" applyAlignment="1">
      <alignment horizontal="center" vertical="center"/>
    </xf>
    <xf numFmtId="0" fontId="4" fillId="0" borderId="18" xfId="0" applyFont="1" applyBorder="1" applyAlignment="1">
      <alignment horizontal="center" vertical="center"/>
    </xf>
    <xf numFmtId="0" fontId="4" fillId="0" borderId="19" xfId="0" applyFont="1" applyBorder="1" applyAlignment="1">
      <alignment horizontal="center" vertical="center"/>
    </xf>
    <xf numFmtId="0" fontId="4" fillId="0" borderId="20" xfId="0" applyFont="1" applyBorder="1" applyAlignment="1">
      <alignment horizontal="center" vertical="center"/>
    </xf>
    <xf numFmtId="0" fontId="9" fillId="0" borderId="9" xfId="0" applyFont="1" applyBorder="1" applyAlignment="1">
      <alignment horizontal="center" vertical="center"/>
    </xf>
    <xf numFmtId="0" fontId="3" fillId="0" borderId="0" xfId="0" applyFont="1" applyFill="1"/>
  </cellXfs>
  <cellStyles count="3">
    <cellStyle name="Comma" xfId="1" builtinId="3"/>
    <cellStyle name="Normal" xfId="0" builtinId="0"/>
    <cellStyle name="Percent 2" xfId="2" xr:uid="{7B4235B4-2CBB-432C-A77E-7BBDED18EAF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4EA0A-AF45-477C-89F4-E7C0B571C12D}">
  <dimension ref="A1:G69"/>
  <sheetViews>
    <sheetView tabSelected="1" zoomScale="68" zoomScaleNormal="68" workbookViewId="0">
      <selection activeCell="M13" sqref="M13"/>
    </sheetView>
  </sheetViews>
  <sheetFormatPr defaultColWidth="9" defaultRowHeight="13.5"/>
  <cols>
    <col min="1" max="1" width="8.08203125" style="1" customWidth="1"/>
    <col min="2" max="2" width="33.08203125" style="1" customWidth="1"/>
    <col min="3" max="3" width="10.08203125" style="1" bestFit="1" customWidth="1"/>
    <col min="4" max="4" width="13.08203125" style="1" bestFit="1" customWidth="1"/>
    <col min="5" max="5" width="14.5" style="1" bestFit="1" customWidth="1"/>
    <col min="6" max="6" width="14.33203125" style="1" bestFit="1" customWidth="1"/>
    <col min="7" max="7" width="39.6640625" style="1" bestFit="1" customWidth="1"/>
    <col min="8" max="255" width="9" style="1"/>
    <col min="256" max="256" width="8.08203125" style="1" customWidth="1"/>
    <col min="257" max="257" width="32" style="1" bestFit="1" customWidth="1"/>
    <col min="258" max="258" width="10.08203125" style="1" bestFit="1" customWidth="1"/>
    <col min="259" max="259" width="13.08203125" style="1" bestFit="1" customWidth="1"/>
    <col min="260" max="260" width="14.5" style="1" bestFit="1" customWidth="1"/>
    <col min="261" max="261" width="14.33203125" style="1" bestFit="1" customWidth="1"/>
    <col min="262" max="262" width="12.1640625" style="1" bestFit="1" customWidth="1"/>
    <col min="263" max="511" width="9" style="1"/>
    <col min="512" max="512" width="8.08203125" style="1" customWidth="1"/>
    <col min="513" max="513" width="32" style="1" bestFit="1" customWidth="1"/>
    <col min="514" max="514" width="10.08203125" style="1" bestFit="1" customWidth="1"/>
    <col min="515" max="515" width="13.08203125" style="1" bestFit="1" customWidth="1"/>
    <col min="516" max="516" width="14.5" style="1" bestFit="1" customWidth="1"/>
    <col min="517" max="517" width="14.33203125" style="1" bestFit="1" customWidth="1"/>
    <col min="518" max="518" width="12.1640625" style="1" bestFit="1" customWidth="1"/>
    <col min="519" max="767" width="9" style="1"/>
    <col min="768" max="768" width="8.08203125" style="1" customWidth="1"/>
    <col min="769" max="769" width="32" style="1" bestFit="1" customWidth="1"/>
    <col min="770" max="770" width="10.08203125" style="1" bestFit="1" customWidth="1"/>
    <col min="771" max="771" width="13.08203125" style="1" bestFit="1" customWidth="1"/>
    <col min="772" max="772" width="14.5" style="1" bestFit="1" customWidth="1"/>
    <col min="773" max="773" width="14.33203125" style="1" bestFit="1" customWidth="1"/>
    <col min="774" max="774" width="12.1640625" style="1" bestFit="1" customWidth="1"/>
    <col min="775" max="1023" width="9" style="1"/>
    <col min="1024" max="1024" width="8.08203125" style="1" customWidth="1"/>
    <col min="1025" max="1025" width="32" style="1" bestFit="1" customWidth="1"/>
    <col min="1026" max="1026" width="10.08203125" style="1" bestFit="1" customWidth="1"/>
    <col min="1027" max="1027" width="13.08203125" style="1" bestFit="1" customWidth="1"/>
    <col min="1028" max="1028" width="14.5" style="1" bestFit="1" customWidth="1"/>
    <col min="1029" max="1029" width="14.33203125" style="1" bestFit="1" customWidth="1"/>
    <col min="1030" max="1030" width="12.1640625" style="1" bestFit="1" customWidth="1"/>
    <col min="1031" max="1279" width="9" style="1"/>
    <col min="1280" max="1280" width="8.08203125" style="1" customWidth="1"/>
    <col min="1281" max="1281" width="32" style="1" bestFit="1" customWidth="1"/>
    <col min="1282" max="1282" width="10.08203125" style="1" bestFit="1" customWidth="1"/>
    <col min="1283" max="1283" width="13.08203125" style="1" bestFit="1" customWidth="1"/>
    <col min="1284" max="1284" width="14.5" style="1" bestFit="1" customWidth="1"/>
    <col min="1285" max="1285" width="14.33203125" style="1" bestFit="1" customWidth="1"/>
    <col min="1286" max="1286" width="12.1640625" style="1" bestFit="1" customWidth="1"/>
    <col min="1287" max="1535" width="9" style="1"/>
    <col min="1536" max="1536" width="8.08203125" style="1" customWidth="1"/>
    <col min="1537" max="1537" width="32" style="1" bestFit="1" customWidth="1"/>
    <col min="1538" max="1538" width="10.08203125" style="1" bestFit="1" customWidth="1"/>
    <col min="1539" max="1539" width="13.08203125" style="1" bestFit="1" customWidth="1"/>
    <col min="1540" max="1540" width="14.5" style="1" bestFit="1" customWidth="1"/>
    <col min="1541" max="1541" width="14.33203125" style="1" bestFit="1" customWidth="1"/>
    <col min="1542" max="1542" width="12.1640625" style="1" bestFit="1" customWidth="1"/>
    <col min="1543" max="1791" width="9" style="1"/>
    <col min="1792" max="1792" width="8.08203125" style="1" customWidth="1"/>
    <col min="1793" max="1793" width="32" style="1" bestFit="1" customWidth="1"/>
    <col min="1794" max="1794" width="10.08203125" style="1" bestFit="1" customWidth="1"/>
    <col min="1795" max="1795" width="13.08203125" style="1" bestFit="1" customWidth="1"/>
    <col min="1796" max="1796" width="14.5" style="1" bestFit="1" customWidth="1"/>
    <col min="1797" max="1797" width="14.33203125" style="1" bestFit="1" customWidth="1"/>
    <col min="1798" max="1798" width="12.1640625" style="1" bestFit="1" customWidth="1"/>
    <col min="1799" max="2047" width="9" style="1"/>
    <col min="2048" max="2048" width="8.08203125" style="1" customWidth="1"/>
    <col min="2049" max="2049" width="32" style="1" bestFit="1" customWidth="1"/>
    <col min="2050" max="2050" width="10.08203125" style="1" bestFit="1" customWidth="1"/>
    <col min="2051" max="2051" width="13.08203125" style="1" bestFit="1" customWidth="1"/>
    <col min="2052" max="2052" width="14.5" style="1" bestFit="1" customWidth="1"/>
    <col min="2053" max="2053" width="14.33203125" style="1" bestFit="1" customWidth="1"/>
    <col min="2054" max="2054" width="12.1640625" style="1" bestFit="1" customWidth="1"/>
    <col min="2055" max="2303" width="9" style="1"/>
    <col min="2304" max="2304" width="8.08203125" style="1" customWidth="1"/>
    <col min="2305" max="2305" width="32" style="1" bestFit="1" customWidth="1"/>
    <col min="2306" max="2306" width="10.08203125" style="1" bestFit="1" customWidth="1"/>
    <col min="2307" max="2307" width="13.08203125" style="1" bestFit="1" customWidth="1"/>
    <col min="2308" max="2308" width="14.5" style="1" bestFit="1" customWidth="1"/>
    <col min="2309" max="2309" width="14.33203125" style="1" bestFit="1" customWidth="1"/>
    <col min="2310" max="2310" width="12.1640625" style="1" bestFit="1" customWidth="1"/>
    <col min="2311" max="2559" width="9" style="1"/>
    <col min="2560" max="2560" width="8.08203125" style="1" customWidth="1"/>
    <col min="2561" max="2561" width="32" style="1" bestFit="1" customWidth="1"/>
    <col min="2562" max="2562" width="10.08203125" style="1" bestFit="1" customWidth="1"/>
    <col min="2563" max="2563" width="13.08203125" style="1" bestFit="1" customWidth="1"/>
    <col min="2564" max="2564" width="14.5" style="1" bestFit="1" customWidth="1"/>
    <col min="2565" max="2565" width="14.33203125" style="1" bestFit="1" customWidth="1"/>
    <col min="2566" max="2566" width="12.1640625" style="1" bestFit="1" customWidth="1"/>
    <col min="2567" max="2815" width="9" style="1"/>
    <col min="2816" max="2816" width="8.08203125" style="1" customWidth="1"/>
    <col min="2817" max="2817" width="32" style="1" bestFit="1" customWidth="1"/>
    <col min="2818" max="2818" width="10.08203125" style="1" bestFit="1" customWidth="1"/>
    <col min="2819" max="2819" width="13.08203125" style="1" bestFit="1" customWidth="1"/>
    <col min="2820" max="2820" width="14.5" style="1" bestFit="1" customWidth="1"/>
    <col min="2821" max="2821" width="14.33203125" style="1" bestFit="1" customWidth="1"/>
    <col min="2822" max="2822" width="12.1640625" style="1" bestFit="1" customWidth="1"/>
    <col min="2823" max="3071" width="9" style="1"/>
    <col min="3072" max="3072" width="8.08203125" style="1" customWidth="1"/>
    <col min="3073" max="3073" width="32" style="1" bestFit="1" customWidth="1"/>
    <col min="3074" max="3074" width="10.08203125" style="1" bestFit="1" customWidth="1"/>
    <col min="3075" max="3075" width="13.08203125" style="1" bestFit="1" customWidth="1"/>
    <col min="3076" max="3076" width="14.5" style="1" bestFit="1" customWidth="1"/>
    <col min="3077" max="3077" width="14.33203125" style="1" bestFit="1" customWidth="1"/>
    <col min="3078" max="3078" width="12.1640625" style="1" bestFit="1" customWidth="1"/>
    <col min="3079" max="3327" width="9" style="1"/>
    <col min="3328" max="3328" width="8.08203125" style="1" customWidth="1"/>
    <col min="3329" max="3329" width="32" style="1" bestFit="1" customWidth="1"/>
    <col min="3330" max="3330" width="10.08203125" style="1" bestFit="1" customWidth="1"/>
    <col min="3331" max="3331" width="13.08203125" style="1" bestFit="1" customWidth="1"/>
    <col min="3332" max="3332" width="14.5" style="1" bestFit="1" customWidth="1"/>
    <col min="3333" max="3333" width="14.33203125" style="1" bestFit="1" customWidth="1"/>
    <col min="3334" max="3334" width="12.1640625" style="1" bestFit="1" customWidth="1"/>
    <col min="3335" max="3583" width="9" style="1"/>
    <col min="3584" max="3584" width="8.08203125" style="1" customWidth="1"/>
    <col min="3585" max="3585" width="32" style="1" bestFit="1" customWidth="1"/>
    <col min="3586" max="3586" width="10.08203125" style="1" bestFit="1" customWidth="1"/>
    <col min="3587" max="3587" width="13.08203125" style="1" bestFit="1" customWidth="1"/>
    <col min="3588" max="3588" width="14.5" style="1" bestFit="1" customWidth="1"/>
    <col min="3589" max="3589" width="14.33203125" style="1" bestFit="1" customWidth="1"/>
    <col min="3590" max="3590" width="12.1640625" style="1" bestFit="1" customWidth="1"/>
    <col min="3591" max="3839" width="9" style="1"/>
    <col min="3840" max="3840" width="8.08203125" style="1" customWidth="1"/>
    <col min="3841" max="3841" width="32" style="1" bestFit="1" customWidth="1"/>
    <col min="3842" max="3842" width="10.08203125" style="1" bestFit="1" customWidth="1"/>
    <col min="3843" max="3843" width="13.08203125" style="1" bestFit="1" customWidth="1"/>
    <col min="3844" max="3844" width="14.5" style="1" bestFit="1" customWidth="1"/>
    <col min="3845" max="3845" width="14.33203125" style="1" bestFit="1" customWidth="1"/>
    <col min="3846" max="3846" width="12.1640625" style="1" bestFit="1" customWidth="1"/>
    <col min="3847" max="4095" width="9" style="1"/>
    <col min="4096" max="4096" width="8.08203125" style="1" customWidth="1"/>
    <col min="4097" max="4097" width="32" style="1" bestFit="1" customWidth="1"/>
    <col min="4098" max="4098" width="10.08203125" style="1" bestFit="1" customWidth="1"/>
    <col min="4099" max="4099" width="13.08203125" style="1" bestFit="1" customWidth="1"/>
    <col min="4100" max="4100" width="14.5" style="1" bestFit="1" customWidth="1"/>
    <col min="4101" max="4101" width="14.33203125" style="1" bestFit="1" customWidth="1"/>
    <col min="4102" max="4102" width="12.1640625" style="1" bestFit="1" customWidth="1"/>
    <col min="4103" max="4351" width="9" style="1"/>
    <col min="4352" max="4352" width="8.08203125" style="1" customWidth="1"/>
    <col min="4353" max="4353" width="32" style="1" bestFit="1" customWidth="1"/>
    <col min="4354" max="4354" width="10.08203125" style="1" bestFit="1" customWidth="1"/>
    <col min="4355" max="4355" width="13.08203125" style="1" bestFit="1" customWidth="1"/>
    <col min="4356" max="4356" width="14.5" style="1" bestFit="1" customWidth="1"/>
    <col min="4357" max="4357" width="14.33203125" style="1" bestFit="1" customWidth="1"/>
    <col min="4358" max="4358" width="12.1640625" style="1" bestFit="1" customWidth="1"/>
    <col min="4359" max="4607" width="9" style="1"/>
    <col min="4608" max="4608" width="8.08203125" style="1" customWidth="1"/>
    <col min="4609" max="4609" width="32" style="1" bestFit="1" customWidth="1"/>
    <col min="4610" max="4610" width="10.08203125" style="1" bestFit="1" customWidth="1"/>
    <col min="4611" max="4611" width="13.08203125" style="1" bestFit="1" customWidth="1"/>
    <col min="4612" max="4612" width="14.5" style="1" bestFit="1" customWidth="1"/>
    <col min="4613" max="4613" width="14.33203125" style="1" bestFit="1" customWidth="1"/>
    <col min="4614" max="4614" width="12.1640625" style="1" bestFit="1" customWidth="1"/>
    <col min="4615" max="4863" width="9" style="1"/>
    <col min="4864" max="4864" width="8.08203125" style="1" customWidth="1"/>
    <col min="4865" max="4865" width="32" style="1" bestFit="1" customWidth="1"/>
    <col min="4866" max="4866" width="10.08203125" style="1" bestFit="1" customWidth="1"/>
    <col min="4867" max="4867" width="13.08203125" style="1" bestFit="1" customWidth="1"/>
    <col min="4868" max="4868" width="14.5" style="1" bestFit="1" customWidth="1"/>
    <col min="4869" max="4869" width="14.33203125" style="1" bestFit="1" customWidth="1"/>
    <col min="4870" max="4870" width="12.1640625" style="1" bestFit="1" customWidth="1"/>
    <col min="4871" max="5119" width="9" style="1"/>
    <col min="5120" max="5120" width="8.08203125" style="1" customWidth="1"/>
    <col min="5121" max="5121" width="32" style="1" bestFit="1" customWidth="1"/>
    <col min="5122" max="5122" width="10.08203125" style="1" bestFit="1" customWidth="1"/>
    <col min="5123" max="5123" width="13.08203125" style="1" bestFit="1" customWidth="1"/>
    <col min="5124" max="5124" width="14.5" style="1" bestFit="1" customWidth="1"/>
    <col min="5125" max="5125" width="14.33203125" style="1" bestFit="1" customWidth="1"/>
    <col min="5126" max="5126" width="12.1640625" style="1" bestFit="1" customWidth="1"/>
    <col min="5127" max="5375" width="9" style="1"/>
    <col min="5376" max="5376" width="8.08203125" style="1" customWidth="1"/>
    <col min="5377" max="5377" width="32" style="1" bestFit="1" customWidth="1"/>
    <col min="5378" max="5378" width="10.08203125" style="1" bestFit="1" customWidth="1"/>
    <col min="5379" max="5379" width="13.08203125" style="1" bestFit="1" customWidth="1"/>
    <col min="5380" max="5380" width="14.5" style="1" bestFit="1" customWidth="1"/>
    <col min="5381" max="5381" width="14.33203125" style="1" bestFit="1" customWidth="1"/>
    <col min="5382" max="5382" width="12.1640625" style="1" bestFit="1" customWidth="1"/>
    <col min="5383" max="5631" width="9" style="1"/>
    <col min="5632" max="5632" width="8.08203125" style="1" customWidth="1"/>
    <col min="5633" max="5633" width="32" style="1" bestFit="1" customWidth="1"/>
    <col min="5634" max="5634" width="10.08203125" style="1" bestFit="1" customWidth="1"/>
    <col min="5635" max="5635" width="13.08203125" style="1" bestFit="1" customWidth="1"/>
    <col min="5636" max="5636" width="14.5" style="1" bestFit="1" customWidth="1"/>
    <col min="5637" max="5637" width="14.33203125" style="1" bestFit="1" customWidth="1"/>
    <col min="5638" max="5638" width="12.1640625" style="1" bestFit="1" customWidth="1"/>
    <col min="5639" max="5887" width="9" style="1"/>
    <col min="5888" max="5888" width="8.08203125" style="1" customWidth="1"/>
    <col min="5889" max="5889" width="32" style="1" bestFit="1" customWidth="1"/>
    <col min="5890" max="5890" width="10.08203125" style="1" bestFit="1" customWidth="1"/>
    <col min="5891" max="5891" width="13.08203125" style="1" bestFit="1" customWidth="1"/>
    <col min="5892" max="5892" width="14.5" style="1" bestFit="1" customWidth="1"/>
    <col min="5893" max="5893" width="14.33203125" style="1" bestFit="1" customWidth="1"/>
    <col min="5894" max="5894" width="12.1640625" style="1" bestFit="1" customWidth="1"/>
    <col min="5895" max="6143" width="9" style="1"/>
    <col min="6144" max="6144" width="8.08203125" style="1" customWidth="1"/>
    <col min="6145" max="6145" width="32" style="1" bestFit="1" customWidth="1"/>
    <col min="6146" max="6146" width="10.08203125" style="1" bestFit="1" customWidth="1"/>
    <col min="6147" max="6147" width="13.08203125" style="1" bestFit="1" customWidth="1"/>
    <col min="6148" max="6148" width="14.5" style="1" bestFit="1" customWidth="1"/>
    <col min="6149" max="6149" width="14.33203125" style="1" bestFit="1" customWidth="1"/>
    <col min="6150" max="6150" width="12.1640625" style="1" bestFit="1" customWidth="1"/>
    <col min="6151" max="6399" width="9" style="1"/>
    <col min="6400" max="6400" width="8.08203125" style="1" customWidth="1"/>
    <col min="6401" max="6401" width="32" style="1" bestFit="1" customWidth="1"/>
    <col min="6402" max="6402" width="10.08203125" style="1" bestFit="1" customWidth="1"/>
    <col min="6403" max="6403" width="13.08203125" style="1" bestFit="1" customWidth="1"/>
    <col min="6404" max="6404" width="14.5" style="1" bestFit="1" customWidth="1"/>
    <col min="6405" max="6405" width="14.33203125" style="1" bestFit="1" customWidth="1"/>
    <col min="6406" max="6406" width="12.1640625" style="1" bestFit="1" customWidth="1"/>
    <col min="6407" max="6655" width="9" style="1"/>
    <col min="6656" max="6656" width="8.08203125" style="1" customWidth="1"/>
    <col min="6657" max="6657" width="32" style="1" bestFit="1" customWidth="1"/>
    <col min="6658" max="6658" width="10.08203125" style="1" bestFit="1" customWidth="1"/>
    <col min="6659" max="6659" width="13.08203125" style="1" bestFit="1" customWidth="1"/>
    <col min="6660" max="6660" width="14.5" style="1" bestFit="1" customWidth="1"/>
    <col min="6661" max="6661" width="14.33203125" style="1" bestFit="1" customWidth="1"/>
    <col min="6662" max="6662" width="12.1640625" style="1" bestFit="1" customWidth="1"/>
    <col min="6663" max="6911" width="9" style="1"/>
    <col min="6912" max="6912" width="8.08203125" style="1" customWidth="1"/>
    <col min="6913" max="6913" width="32" style="1" bestFit="1" customWidth="1"/>
    <col min="6914" max="6914" width="10.08203125" style="1" bestFit="1" customWidth="1"/>
    <col min="6915" max="6915" width="13.08203125" style="1" bestFit="1" customWidth="1"/>
    <col min="6916" max="6916" width="14.5" style="1" bestFit="1" customWidth="1"/>
    <col min="6917" max="6917" width="14.33203125" style="1" bestFit="1" customWidth="1"/>
    <col min="6918" max="6918" width="12.1640625" style="1" bestFit="1" customWidth="1"/>
    <col min="6919" max="7167" width="9" style="1"/>
    <col min="7168" max="7168" width="8.08203125" style="1" customWidth="1"/>
    <col min="7169" max="7169" width="32" style="1" bestFit="1" customWidth="1"/>
    <col min="7170" max="7170" width="10.08203125" style="1" bestFit="1" customWidth="1"/>
    <col min="7171" max="7171" width="13.08203125" style="1" bestFit="1" customWidth="1"/>
    <col min="7172" max="7172" width="14.5" style="1" bestFit="1" customWidth="1"/>
    <col min="7173" max="7173" width="14.33203125" style="1" bestFit="1" customWidth="1"/>
    <col min="7174" max="7174" width="12.1640625" style="1" bestFit="1" customWidth="1"/>
    <col min="7175" max="7423" width="9" style="1"/>
    <col min="7424" max="7424" width="8.08203125" style="1" customWidth="1"/>
    <col min="7425" max="7425" width="32" style="1" bestFit="1" customWidth="1"/>
    <col min="7426" max="7426" width="10.08203125" style="1" bestFit="1" customWidth="1"/>
    <col min="7427" max="7427" width="13.08203125" style="1" bestFit="1" customWidth="1"/>
    <col min="7428" max="7428" width="14.5" style="1" bestFit="1" customWidth="1"/>
    <col min="7429" max="7429" width="14.33203125" style="1" bestFit="1" customWidth="1"/>
    <col min="7430" max="7430" width="12.1640625" style="1" bestFit="1" customWidth="1"/>
    <col min="7431" max="7679" width="9" style="1"/>
    <col min="7680" max="7680" width="8.08203125" style="1" customWidth="1"/>
    <col min="7681" max="7681" width="32" style="1" bestFit="1" customWidth="1"/>
    <col min="7682" max="7682" width="10.08203125" style="1" bestFit="1" customWidth="1"/>
    <col min="7683" max="7683" width="13.08203125" style="1" bestFit="1" customWidth="1"/>
    <col min="7684" max="7684" width="14.5" style="1" bestFit="1" customWidth="1"/>
    <col min="7685" max="7685" width="14.33203125" style="1" bestFit="1" customWidth="1"/>
    <col min="7686" max="7686" width="12.1640625" style="1" bestFit="1" customWidth="1"/>
    <col min="7687" max="7935" width="9" style="1"/>
    <col min="7936" max="7936" width="8.08203125" style="1" customWidth="1"/>
    <col min="7937" max="7937" width="32" style="1" bestFit="1" customWidth="1"/>
    <col min="7938" max="7938" width="10.08203125" style="1" bestFit="1" customWidth="1"/>
    <col min="7939" max="7939" width="13.08203125" style="1" bestFit="1" customWidth="1"/>
    <col min="7940" max="7940" width="14.5" style="1" bestFit="1" customWidth="1"/>
    <col min="7941" max="7941" width="14.33203125" style="1" bestFit="1" customWidth="1"/>
    <col min="7942" max="7942" width="12.1640625" style="1" bestFit="1" customWidth="1"/>
    <col min="7943" max="8191" width="9" style="1"/>
    <col min="8192" max="8192" width="8.08203125" style="1" customWidth="1"/>
    <col min="8193" max="8193" width="32" style="1" bestFit="1" customWidth="1"/>
    <col min="8194" max="8194" width="10.08203125" style="1" bestFit="1" customWidth="1"/>
    <col min="8195" max="8195" width="13.08203125" style="1" bestFit="1" customWidth="1"/>
    <col min="8196" max="8196" width="14.5" style="1" bestFit="1" customWidth="1"/>
    <col min="8197" max="8197" width="14.33203125" style="1" bestFit="1" customWidth="1"/>
    <col min="8198" max="8198" width="12.1640625" style="1" bestFit="1" customWidth="1"/>
    <col min="8199" max="8447" width="9" style="1"/>
    <col min="8448" max="8448" width="8.08203125" style="1" customWidth="1"/>
    <col min="8449" max="8449" width="32" style="1" bestFit="1" customWidth="1"/>
    <col min="8450" max="8450" width="10.08203125" style="1" bestFit="1" customWidth="1"/>
    <col min="8451" max="8451" width="13.08203125" style="1" bestFit="1" customWidth="1"/>
    <col min="8452" max="8452" width="14.5" style="1" bestFit="1" customWidth="1"/>
    <col min="8453" max="8453" width="14.33203125" style="1" bestFit="1" customWidth="1"/>
    <col min="8454" max="8454" width="12.1640625" style="1" bestFit="1" customWidth="1"/>
    <col min="8455" max="8703" width="9" style="1"/>
    <col min="8704" max="8704" width="8.08203125" style="1" customWidth="1"/>
    <col min="8705" max="8705" width="32" style="1" bestFit="1" customWidth="1"/>
    <col min="8706" max="8706" width="10.08203125" style="1" bestFit="1" customWidth="1"/>
    <col min="8707" max="8707" width="13.08203125" style="1" bestFit="1" customWidth="1"/>
    <col min="8708" max="8708" width="14.5" style="1" bestFit="1" customWidth="1"/>
    <col min="8709" max="8709" width="14.33203125" style="1" bestFit="1" customWidth="1"/>
    <col min="8710" max="8710" width="12.1640625" style="1" bestFit="1" customWidth="1"/>
    <col min="8711" max="8959" width="9" style="1"/>
    <col min="8960" max="8960" width="8.08203125" style="1" customWidth="1"/>
    <col min="8961" max="8961" width="32" style="1" bestFit="1" customWidth="1"/>
    <col min="8962" max="8962" width="10.08203125" style="1" bestFit="1" customWidth="1"/>
    <col min="8963" max="8963" width="13.08203125" style="1" bestFit="1" customWidth="1"/>
    <col min="8964" max="8964" width="14.5" style="1" bestFit="1" customWidth="1"/>
    <col min="8965" max="8965" width="14.33203125" style="1" bestFit="1" customWidth="1"/>
    <col min="8966" max="8966" width="12.1640625" style="1" bestFit="1" customWidth="1"/>
    <col min="8967" max="9215" width="9" style="1"/>
    <col min="9216" max="9216" width="8.08203125" style="1" customWidth="1"/>
    <col min="9217" max="9217" width="32" style="1" bestFit="1" customWidth="1"/>
    <col min="9218" max="9218" width="10.08203125" style="1" bestFit="1" customWidth="1"/>
    <col min="9219" max="9219" width="13.08203125" style="1" bestFit="1" customWidth="1"/>
    <col min="9220" max="9220" width="14.5" style="1" bestFit="1" customWidth="1"/>
    <col min="9221" max="9221" width="14.33203125" style="1" bestFit="1" customWidth="1"/>
    <col min="9222" max="9222" width="12.1640625" style="1" bestFit="1" customWidth="1"/>
    <col min="9223" max="9471" width="9" style="1"/>
    <col min="9472" max="9472" width="8.08203125" style="1" customWidth="1"/>
    <col min="9473" max="9473" width="32" style="1" bestFit="1" customWidth="1"/>
    <col min="9474" max="9474" width="10.08203125" style="1" bestFit="1" customWidth="1"/>
    <col min="9475" max="9475" width="13.08203125" style="1" bestFit="1" customWidth="1"/>
    <col min="9476" max="9476" width="14.5" style="1" bestFit="1" customWidth="1"/>
    <col min="9477" max="9477" width="14.33203125" style="1" bestFit="1" customWidth="1"/>
    <col min="9478" max="9478" width="12.1640625" style="1" bestFit="1" customWidth="1"/>
    <col min="9479" max="9727" width="9" style="1"/>
    <col min="9728" max="9728" width="8.08203125" style="1" customWidth="1"/>
    <col min="9729" max="9729" width="32" style="1" bestFit="1" customWidth="1"/>
    <col min="9730" max="9730" width="10.08203125" style="1" bestFit="1" customWidth="1"/>
    <col min="9731" max="9731" width="13.08203125" style="1" bestFit="1" customWidth="1"/>
    <col min="9732" max="9732" width="14.5" style="1" bestFit="1" customWidth="1"/>
    <col min="9733" max="9733" width="14.33203125" style="1" bestFit="1" customWidth="1"/>
    <col min="9734" max="9734" width="12.1640625" style="1" bestFit="1" customWidth="1"/>
    <col min="9735" max="9983" width="9" style="1"/>
    <col min="9984" max="9984" width="8.08203125" style="1" customWidth="1"/>
    <col min="9985" max="9985" width="32" style="1" bestFit="1" customWidth="1"/>
    <col min="9986" max="9986" width="10.08203125" style="1" bestFit="1" customWidth="1"/>
    <col min="9987" max="9987" width="13.08203125" style="1" bestFit="1" customWidth="1"/>
    <col min="9988" max="9988" width="14.5" style="1" bestFit="1" customWidth="1"/>
    <col min="9989" max="9989" width="14.33203125" style="1" bestFit="1" customWidth="1"/>
    <col min="9990" max="9990" width="12.1640625" style="1" bestFit="1" customWidth="1"/>
    <col min="9991" max="10239" width="9" style="1"/>
    <col min="10240" max="10240" width="8.08203125" style="1" customWidth="1"/>
    <col min="10241" max="10241" width="32" style="1" bestFit="1" customWidth="1"/>
    <col min="10242" max="10242" width="10.08203125" style="1" bestFit="1" customWidth="1"/>
    <col min="10243" max="10243" width="13.08203125" style="1" bestFit="1" customWidth="1"/>
    <col min="10244" max="10244" width="14.5" style="1" bestFit="1" customWidth="1"/>
    <col min="10245" max="10245" width="14.33203125" style="1" bestFit="1" customWidth="1"/>
    <col min="10246" max="10246" width="12.1640625" style="1" bestFit="1" customWidth="1"/>
    <col min="10247" max="10495" width="9" style="1"/>
    <col min="10496" max="10496" width="8.08203125" style="1" customWidth="1"/>
    <col min="10497" max="10497" width="32" style="1" bestFit="1" customWidth="1"/>
    <col min="10498" max="10498" width="10.08203125" style="1" bestFit="1" customWidth="1"/>
    <col min="10499" max="10499" width="13.08203125" style="1" bestFit="1" customWidth="1"/>
    <col min="10500" max="10500" width="14.5" style="1" bestFit="1" customWidth="1"/>
    <col min="10501" max="10501" width="14.33203125" style="1" bestFit="1" customWidth="1"/>
    <col min="10502" max="10502" width="12.1640625" style="1" bestFit="1" customWidth="1"/>
    <col min="10503" max="10751" width="9" style="1"/>
    <col min="10752" max="10752" width="8.08203125" style="1" customWidth="1"/>
    <col min="10753" max="10753" width="32" style="1" bestFit="1" customWidth="1"/>
    <col min="10754" max="10754" width="10.08203125" style="1" bestFit="1" customWidth="1"/>
    <col min="10755" max="10755" width="13.08203125" style="1" bestFit="1" customWidth="1"/>
    <col min="10756" max="10756" width="14.5" style="1" bestFit="1" customWidth="1"/>
    <col min="10757" max="10757" width="14.33203125" style="1" bestFit="1" customWidth="1"/>
    <col min="10758" max="10758" width="12.1640625" style="1" bestFit="1" customWidth="1"/>
    <col min="10759" max="11007" width="9" style="1"/>
    <col min="11008" max="11008" width="8.08203125" style="1" customWidth="1"/>
    <col min="11009" max="11009" width="32" style="1" bestFit="1" customWidth="1"/>
    <col min="11010" max="11010" width="10.08203125" style="1" bestFit="1" customWidth="1"/>
    <col min="11011" max="11011" width="13.08203125" style="1" bestFit="1" customWidth="1"/>
    <col min="11012" max="11012" width="14.5" style="1" bestFit="1" customWidth="1"/>
    <col min="11013" max="11013" width="14.33203125" style="1" bestFit="1" customWidth="1"/>
    <col min="11014" max="11014" width="12.1640625" style="1" bestFit="1" customWidth="1"/>
    <col min="11015" max="11263" width="9" style="1"/>
    <col min="11264" max="11264" width="8.08203125" style="1" customWidth="1"/>
    <col min="11265" max="11265" width="32" style="1" bestFit="1" customWidth="1"/>
    <col min="11266" max="11266" width="10.08203125" style="1" bestFit="1" customWidth="1"/>
    <col min="11267" max="11267" width="13.08203125" style="1" bestFit="1" customWidth="1"/>
    <col min="11268" max="11268" width="14.5" style="1" bestFit="1" customWidth="1"/>
    <col min="11269" max="11269" width="14.33203125" style="1" bestFit="1" customWidth="1"/>
    <col min="11270" max="11270" width="12.1640625" style="1" bestFit="1" customWidth="1"/>
    <col min="11271" max="11519" width="9" style="1"/>
    <col min="11520" max="11520" width="8.08203125" style="1" customWidth="1"/>
    <col min="11521" max="11521" width="32" style="1" bestFit="1" customWidth="1"/>
    <col min="11522" max="11522" width="10.08203125" style="1" bestFit="1" customWidth="1"/>
    <col min="11523" max="11523" width="13.08203125" style="1" bestFit="1" customWidth="1"/>
    <col min="11524" max="11524" width="14.5" style="1" bestFit="1" customWidth="1"/>
    <col min="11525" max="11525" width="14.33203125" style="1" bestFit="1" customWidth="1"/>
    <col min="11526" max="11526" width="12.1640625" style="1" bestFit="1" customWidth="1"/>
    <col min="11527" max="11775" width="9" style="1"/>
    <col min="11776" max="11776" width="8.08203125" style="1" customWidth="1"/>
    <col min="11777" max="11777" width="32" style="1" bestFit="1" customWidth="1"/>
    <col min="11778" max="11778" width="10.08203125" style="1" bestFit="1" customWidth="1"/>
    <col min="11779" max="11779" width="13.08203125" style="1" bestFit="1" customWidth="1"/>
    <col min="11780" max="11780" width="14.5" style="1" bestFit="1" customWidth="1"/>
    <col min="11781" max="11781" width="14.33203125" style="1" bestFit="1" customWidth="1"/>
    <col min="11782" max="11782" width="12.1640625" style="1" bestFit="1" customWidth="1"/>
    <col min="11783" max="12031" width="9" style="1"/>
    <col min="12032" max="12032" width="8.08203125" style="1" customWidth="1"/>
    <col min="12033" max="12033" width="32" style="1" bestFit="1" customWidth="1"/>
    <col min="12034" max="12034" width="10.08203125" style="1" bestFit="1" customWidth="1"/>
    <col min="12035" max="12035" width="13.08203125" style="1" bestFit="1" customWidth="1"/>
    <col min="12036" max="12036" width="14.5" style="1" bestFit="1" customWidth="1"/>
    <col min="12037" max="12037" width="14.33203125" style="1" bestFit="1" customWidth="1"/>
    <col min="12038" max="12038" width="12.1640625" style="1" bestFit="1" customWidth="1"/>
    <col min="12039" max="12287" width="9" style="1"/>
    <col min="12288" max="12288" width="8.08203125" style="1" customWidth="1"/>
    <col min="12289" max="12289" width="32" style="1" bestFit="1" customWidth="1"/>
    <col min="12290" max="12290" width="10.08203125" style="1" bestFit="1" customWidth="1"/>
    <col min="12291" max="12291" width="13.08203125" style="1" bestFit="1" customWidth="1"/>
    <col min="12292" max="12292" width="14.5" style="1" bestFit="1" customWidth="1"/>
    <col min="12293" max="12293" width="14.33203125" style="1" bestFit="1" customWidth="1"/>
    <col min="12294" max="12294" width="12.1640625" style="1" bestFit="1" customWidth="1"/>
    <col min="12295" max="12543" width="9" style="1"/>
    <col min="12544" max="12544" width="8.08203125" style="1" customWidth="1"/>
    <col min="12545" max="12545" width="32" style="1" bestFit="1" customWidth="1"/>
    <col min="12546" max="12546" width="10.08203125" style="1" bestFit="1" customWidth="1"/>
    <col min="12547" max="12547" width="13.08203125" style="1" bestFit="1" customWidth="1"/>
    <col min="12548" max="12548" width="14.5" style="1" bestFit="1" customWidth="1"/>
    <col min="12549" max="12549" width="14.33203125" style="1" bestFit="1" customWidth="1"/>
    <col min="12550" max="12550" width="12.1640625" style="1" bestFit="1" customWidth="1"/>
    <col min="12551" max="12799" width="9" style="1"/>
    <col min="12800" max="12800" width="8.08203125" style="1" customWidth="1"/>
    <col min="12801" max="12801" width="32" style="1" bestFit="1" customWidth="1"/>
    <col min="12802" max="12802" width="10.08203125" style="1" bestFit="1" customWidth="1"/>
    <col min="12803" max="12803" width="13.08203125" style="1" bestFit="1" customWidth="1"/>
    <col min="12804" max="12804" width="14.5" style="1" bestFit="1" customWidth="1"/>
    <col min="12805" max="12805" width="14.33203125" style="1" bestFit="1" customWidth="1"/>
    <col min="12806" max="12806" width="12.1640625" style="1" bestFit="1" customWidth="1"/>
    <col min="12807" max="13055" width="9" style="1"/>
    <col min="13056" max="13056" width="8.08203125" style="1" customWidth="1"/>
    <col min="13057" max="13057" width="32" style="1" bestFit="1" customWidth="1"/>
    <col min="13058" max="13058" width="10.08203125" style="1" bestFit="1" customWidth="1"/>
    <col min="13059" max="13059" width="13.08203125" style="1" bestFit="1" customWidth="1"/>
    <col min="13060" max="13060" width="14.5" style="1" bestFit="1" customWidth="1"/>
    <col min="13061" max="13061" width="14.33203125" style="1" bestFit="1" customWidth="1"/>
    <col min="13062" max="13062" width="12.1640625" style="1" bestFit="1" customWidth="1"/>
    <col min="13063" max="13311" width="9" style="1"/>
    <col min="13312" max="13312" width="8.08203125" style="1" customWidth="1"/>
    <col min="13313" max="13313" width="32" style="1" bestFit="1" customWidth="1"/>
    <col min="13314" max="13314" width="10.08203125" style="1" bestFit="1" customWidth="1"/>
    <col min="13315" max="13315" width="13.08203125" style="1" bestFit="1" customWidth="1"/>
    <col min="13316" max="13316" width="14.5" style="1" bestFit="1" customWidth="1"/>
    <col min="13317" max="13317" width="14.33203125" style="1" bestFit="1" customWidth="1"/>
    <col min="13318" max="13318" width="12.1640625" style="1" bestFit="1" customWidth="1"/>
    <col min="13319" max="13567" width="9" style="1"/>
    <col min="13568" max="13568" width="8.08203125" style="1" customWidth="1"/>
    <col min="13569" max="13569" width="32" style="1" bestFit="1" customWidth="1"/>
    <col min="13570" max="13570" width="10.08203125" style="1" bestFit="1" customWidth="1"/>
    <col min="13571" max="13571" width="13.08203125" style="1" bestFit="1" customWidth="1"/>
    <col min="13572" max="13572" width="14.5" style="1" bestFit="1" customWidth="1"/>
    <col min="13573" max="13573" width="14.33203125" style="1" bestFit="1" customWidth="1"/>
    <col min="13574" max="13574" width="12.1640625" style="1" bestFit="1" customWidth="1"/>
    <col min="13575" max="13823" width="9" style="1"/>
    <col min="13824" max="13824" width="8.08203125" style="1" customWidth="1"/>
    <col min="13825" max="13825" width="32" style="1" bestFit="1" customWidth="1"/>
    <col min="13826" max="13826" width="10.08203125" style="1" bestFit="1" customWidth="1"/>
    <col min="13827" max="13827" width="13.08203125" style="1" bestFit="1" customWidth="1"/>
    <col min="13828" max="13828" width="14.5" style="1" bestFit="1" customWidth="1"/>
    <col min="13829" max="13829" width="14.33203125" style="1" bestFit="1" customWidth="1"/>
    <col min="13830" max="13830" width="12.1640625" style="1" bestFit="1" customWidth="1"/>
    <col min="13831" max="14079" width="9" style="1"/>
    <col min="14080" max="14080" width="8.08203125" style="1" customWidth="1"/>
    <col min="14081" max="14081" width="32" style="1" bestFit="1" customWidth="1"/>
    <col min="14082" max="14082" width="10.08203125" style="1" bestFit="1" customWidth="1"/>
    <col min="14083" max="14083" width="13.08203125" style="1" bestFit="1" customWidth="1"/>
    <col min="14084" max="14084" width="14.5" style="1" bestFit="1" customWidth="1"/>
    <col min="14085" max="14085" width="14.33203125" style="1" bestFit="1" customWidth="1"/>
    <col min="14086" max="14086" width="12.1640625" style="1" bestFit="1" customWidth="1"/>
    <col min="14087" max="14335" width="9" style="1"/>
    <col min="14336" max="14336" width="8.08203125" style="1" customWidth="1"/>
    <col min="14337" max="14337" width="32" style="1" bestFit="1" customWidth="1"/>
    <col min="14338" max="14338" width="10.08203125" style="1" bestFit="1" customWidth="1"/>
    <col min="14339" max="14339" width="13.08203125" style="1" bestFit="1" customWidth="1"/>
    <col min="14340" max="14340" width="14.5" style="1" bestFit="1" customWidth="1"/>
    <col min="14341" max="14341" width="14.33203125" style="1" bestFit="1" customWidth="1"/>
    <col min="14342" max="14342" width="12.1640625" style="1" bestFit="1" customWidth="1"/>
    <col min="14343" max="14591" width="9" style="1"/>
    <col min="14592" max="14592" width="8.08203125" style="1" customWidth="1"/>
    <col min="14593" max="14593" width="32" style="1" bestFit="1" customWidth="1"/>
    <col min="14594" max="14594" width="10.08203125" style="1" bestFit="1" customWidth="1"/>
    <col min="14595" max="14595" width="13.08203125" style="1" bestFit="1" customWidth="1"/>
    <col min="14596" max="14596" width="14.5" style="1" bestFit="1" customWidth="1"/>
    <col min="14597" max="14597" width="14.33203125" style="1" bestFit="1" customWidth="1"/>
    <col min="14598" max="14598" width="12.1640625" style="1" bestFit="1" customWidth="1"/>
    <col min="14599" max="14847" width="9" style="1"/>
    <col min="14848" max="14848" width="8.08203125" style="1" customWidth="1"/>
    <col min="14849" max="14849" width="32" style="1" bestFit="1" customWidth="1"/>
    <col min="14850" max="14850" width="10.08203125" style="1" bestFit="1" customWidth="1"/>
    <col min="14851" max="14851" width="13.08203125" style="1" bestFit="1" customWidth="1"/>
    <col min="14852" max="14852" width="14.5" style="1" bestFit="1" customWidth="1"/>
    <col min="14853" max="14853" width="14.33203125" style="1" bestFit="1" customWidth="1"/>
    <col min="14854" max="14854" width="12.1640625" style="1" bestFit="1" customWidth="1"/>
    <col min="14855" max="15103" width="9" style="1"/>
    <col min="15104" max="15104" width="8.08203125" style="1" customWidth="1"/>
    <col min="15105" max="15105" width="32" style="1" bestFit="1" customWidth="1"/>
    <col min="15106" max="15106" width="10.08203125" style="1" bestFit="1" customWidth="1"/>
    <col min="15107" max="15107" width="13.08203125" style="1" bestFit="1" customWidth="1"/>
    <col min="15108" max="15108" width="14.5" style="1" bestFit="1" customWidth="1"/>
    <col min="15109" max="15109" width="14.33203125" style="1" bestFit="1" customWidth="1"/>
    <col min="15110" max="15110" width="12.1640625" style="1" bestFit="1" customWidth="1"/>
    <col min="15111" max="15359" width="9" style="1"/>
    <col min="15360" max="15360" width="8.08203125" style="1" customWidth="1"/>
    <col min="15361" max="15361" width="32" style="1" bestFit="1" customWidth="1"/>
    <col min="15362" max="15362" width="10.08203125" style="1" bestFit="1" customWidth="1"/>
    <col min="15363" max="15363" width="13.08203125" style="1" bestFit="1" customWidth="1"/>
    <col min="15364" max="15364" width="14.5" style="1" bestFit="1" customWidth="1"/>
    <col min="15365" max="15365" width="14.33203125" style="1" bestFit="1" customWidth="1"/>
    <col min="15366" max="15366" width="12.1640625" style="1" bestFit="1" customWidth="1"/>
    <col min="15367" max="15615" width="9" style="1"/>
    <col min="15616" max="15616" width="8.08203125" style="1" customWidth="1"/>
    <col min="15617" max="15617" width="32" style="1" bestFit="1" customWidth="1"/>
    <col min="15618" max="15618" width="10.08203125" style="1" bestFit="1" customWidth="1"/>
    <col min="15619" max="15619" width="13.08203125" style="1" bestFit="1" customWidth="1"/>
    <col min="15620" max="15620" width="14.5" style="1" bestFit="1" customWidth="1"/>
    <col min="15621" max="15621" width="14.33203125" style="1" bestFit="1" customWidth="1"/>
    <col min="15622" max="15622" width="12.1640625" style="1" bestFit="1" customWidth="1"/>
    <col min="15623" max="15871" width="9" style="1"/>
    <col min="15872" max="15872" width="8.08203125" style="1" customWidth="1"/>
    <col min="15873" max="15873" width="32" style="1" bestFit="1" customWidth="1"/>
    <col min="15874" max="15874" width="10.08203125" style="1" bestFit="1" customWidth="1"/>
    <col min="15875" max="15875" width="13.08203125" style="1" bestFit="1" customWidth="1"/>
    <col min="15876" max="15876" width="14.5" style="1" bestFit="1" customWidth="1"/>
    <col min="15877" max="15877" width="14.33203125" style="1" bestFit="1" customWidth="1"/>
    <col min="15878" max="15878" width="12.1640625" style="1" bestFit="1" customWidth="1"/>
    <col min="15879" max="16127" width="9" style="1"/>
    <col min="16128" max="16128" width="8.08203125" style="1" customWidth="1"/>
    <col min="16129" max="16129" width="32" style="1" bestFit="1" customWidth="1"/>
    <col min="16130" max="16130" width="10.08203125" style="1" bestFit="1" customWidth="1"/>
    <col min="16131" max="16131" width="13.08203125" style="1" bestFit="1" customWidth="1"/>
    <col min="16132" max="16132" width="14.5" style="1" bestFit="1" customWidth="1"/>
    <col min="16133" max="16133" width="14.33203125" style="1" bestFit="1" customWidth="1"/>
    <col min="16134" max="16134" width="12.1640625" style="1" bestFit="1" customWidth="1"/>
    <col min="16135" max="16384" width="9" style="1"/>
  </cols>
  <sheetData>
    <row r="1" spans="1:7" ht="19.5">
      <c r="A1" s="101" t="s">
        <v>80</v>
      </c>
      <c r="B1" s="101"/>
      <c r="C1" s="101"/>
      <c r="D1" s="101"/>
      <c r="E1" s="101"/>
      <c r="F1" s="101"/>
      <c r="G1" s="101"/>
    </row>
    <row r="3" spans="1:7" ht="14" thickBot="1">
      <c r="A3" s="2" t="s">
        <v>0</v>
      </c>
      <c r="B3" s="3" t="s">
        <v>1</v>
      </c>
      <c r="C3" s="3"/>
      <c r="D3" s="4"/>
      <c r="E3" s="4"/>
      <c r="F3" s="4"/>
      <c r="G3" s="4"/>
    </row>
    <row r="4" spans="1:7" ht="19.5" customHeight="1">
      <c r="A4" s="5" t="s">
        <v>2</v>
      </c>
      <c r="B4" s="5" t="s">
        <v>3</v>
      </c>
      <c r="C4" s="5" t="s">
        <v>4</v>
      </c>
      <c r="D4" s="5" t="s">
        <v>5</v>
      </c>
      <c r="E4" s="5" t="s">
        <v>6</v>
      </c>
      <c r="F4" s="5" t="s">
        <v>7</v>
      </c>
      <c r="G4" s="5" t="s">
        <v>8</v>
      </c>
    </row>
    <row r="5" spans="1:7" ht="18" customHeight="1">
      <c r="A5" s="6"/>
      <c r="B5" s="7" t="s">
        <v>9</v>
      </c>
      <c r="C5" s="8"/>
      <c r="D5" s="8"/>
      <c r="E5" s="9"/>
      <c r="F5" s="9">
        <f>SUM(F6:F13)</f>
        <v>0</v>
      </c>
      <c r="G5" s="8"/>
    </row>
    <row r="6" spans="1:7" ht="16" customHeight="1">
      <c r="A6" s="10"/>
      <c r="B6" s="10" t="s">
        <v>10</v>
      </c>
      <c r="C6" s="10" t="s">
        <v>139</v>
      </c>
      <c r="D6" s="11"/>
      <c r="E6" s="11"/>
      <c r="F6" s="11"/>
      <c r="G6" s="12"/>
    </row>
    <row r="7" spans="1:7" ht="16" customHeight="1">
      <c r="A7" s="10"/>
      <c r="B7" s="10" t="s">
        <v>11</v>
      </c>
      <c r="C7" s="10" t="s">
        <v>139</v>
      </c>
      <c r="D7" s="11"/>
      <c r="E7" s="11"/>
      <c r="F7" s="11"/>
      <c r="G7" s="12"/>
    </row>
    <row r="8" spans="1:7" ht="16" customHeight="1">
      <c r="A8" s="10"/>
      <c r="B8" s="10" t="s">
        <v>12</v>
      </c>
      <c r="C8" s="10" t="s">
        <v>139</v>
      </c>
      <c r="D8" s="11"/>
      <c r="E8" s="11"/>
      <c r="F8" s="11"/>
      <c r="G8" s="12"/>
    </row>
    <row r="9" spans="1:7" ht="16" customHeight="1">
      <c r="A9" s="10"/>
      <c r="B9" s="10" t="s">
        <v>13</v>
      </c>
      <c r="C9" s="10" t="s">
        <v>139</v>
      </c>
      <c r="D9" s="11"/>
      <c r="E9" s="11"/>
      <c r="F9" s="11"/>
      <c r="G9" s="12"/>
    </row>
    <row r="10" spans="1:7" ht="16" customHeight="1">
      <c r="A10" s="10"/>
      <c r="B10" s="10" t="s">
        <v>14</v>
      </c>
      <c r="C10" s="10" t="s">
        <v>139</v>
      </c>
      <c r="D10" s="11"/>
      <c r="E10" s="11"/>
      <c r="F10" s="11"/>
      <c r="G10" s="12"/>
    </row>
    <row r="11" spans="1:7" ht="16" customHeight="1">
      <c r="A11" s="10"/>
      <c r="B11" s="10" t="s">
        <v>15</v>
      </c>
      <c r="C11" s="10" t="s">
        <v>139</v>
      </c>
      <c r="D11" s="11"/>
      <c r="E11" s="11"/>
      <c r="F11" s="11"/>
      <c r="G11" s="12"/>
    </row>
    <row r="12" spans="1:7" ht="16" customHeight="1">
      <c r="A12" s="10"/>
      <c r="B12" s="10" t="s">
        <v>16</v>
      </c>
      <c r="C12" s="10" t="s">
        <v>139</v>
      </c>
      <c r="D12" s="11"/>
      <c r="E12" s="11"/>
      <c r="F12" s="11"/>
      <c r="G12" s="12"/>
    </row>
    <row r="13" spans="1:7" ht="16" customHeight="1">
      <c r="A13" s="10"/>
      <c r="B13" s="10" t="s">
        <v>17</v>
      </c>
      <c r="C13" s="10" t="s">
        <v>139</v>
      </c>
      <c r="D13" s="11"/>
      <c r="E13" s="11"/>
      <c r="F13" s="11"/>
      <c r="G13" s="12"/>
    </row>
    <row r="14" spans="1:7" ht="18" customHeight="1">
      <c r="A14" s="8"/>
      <c r="B14" s="7" t="s">
        <v>18</v>
      </c>
      <c r="C14" s="8"/>
      <c r="D14" s="13"/>
      <c r="E14" s="13"/>
      <c r="F14" s="13">
        <f>SUM(F15:F17)</f>
        <v>0</v>
      </c>
      <c r="G14" s="8"/>
    </row>
    <row r="15" spans="1:7" ht="16" customHeight="1">
      <c r="A15" s="10"/>
      <c r="B15" s="10" t="s">
        <v>140</v>
      </c>
      <c r="C15" s="10" t="s">
        <v>139</v>
      </c>
      <c r="D15" s="11"/>
      <c r="E15" s="11"/>
      <c r="F15" s="11"/>
      <c r="G15" s="12"/>
    </row>
    <row r="16" spans="1:7" ht="16" customHeight="1">
      <c r="A16" s="10"/>
      <c r="B16" s="10" t="s">
        <v>19</v>
      </c>
      <c r="C16" s="10" t="s">
        <v>139</v>
      </c>
      <c r="D16" s="11"/>
      <c r="E16" s="14"/>
      <c r="F16" s="11"/>
      <c r="G16" s="15"/>
    </row>
    <row r="17" spans="1:7" ht="16" customHeight="1">
      <c r="A17" s="10"/>
      <c r="C17" s="10"/>
      <c r="D17" s="11"/>
      <c r="E17" s="14"/>
      <c r="F17" s="11"/>
      <c r="G17" s="15"/>
    </row>
    <row r="18" spans="1:7" ht="18" customHeight="1">
      <c r="A18" s="8"/>
      <c r="B18" s="7" t="s">
        <v>20</v>
      </c>
      <c r="C18" s="8"/>
      <c r="D18" s="13"/>
      <c r="E18" s="13"/>
      <c r="F18" s="13">
        <f>SUM(F19:F22)</f>
        <v>0</v>
      </c>
      <c r="G18" s="8"/>
    </row>
    <row r="19" spans="1:7" ht="16" customHeight="1">
      <c r="A19" s="10"/>
      <c r="B19" s="10" t="s">
        <v>141</v>
      </c>
      <c r="C19" s="10" t="s">
        <v>139</v>
      </c>
      <c r="D19" s="11"/>
      <c r="E19" s="11"/>
      <c r="F19" s="11"/>
      <c r="G19" s="12"/>
    </row>
    <row r="20" spans="1:7" ht="16" customHeight="1">
      <c r="A20" s="10"/>
      <c r="B20" s="10" t="s">
        <v>21</v>
      </c>
      <c r="C20" s="10" t="s">
        <v>139</v>
      </c>
      <c r="D20" s="11"/>
      <c r="E20" s="11"/>
      <c r="F20" s="11"/>
      <c r="G20" s="12"/>
    </row>
    <row r="21" spans="1:7" ht="16" customHeight="1">
      <c r="A21" s="10"/>
      <c r="B21" s="10" t="s">
        <v>81</v>
      </c>
      <c r="C21" s="10" t="s">
        <v>139</v>
      </c>
      <c r="D21" s="11"/>
      <c r="E21" s="11"/>
      <c r="F21" s="11"/>
      <c r="G21" s="12"/>
    </row>
    <row r="22" spans="1:7" ht="16" customHeight="1">
      <c r="A22" s="10"/>
      <c r="C22" s="10"/>
      <c r="D22" s="11"/>
      <c r="E22" s="11"/>
      <c r="F22" s="11"/>
      <c r="G22" s="12"/>
    </row>
    <row r="23" spans="1:7" ht="18" customHeight="1">
      <c r="A23" s="8"/>
      <c r="B23" s="7" t="s">
        <v>22</v>
      </c>
      <c r="C23" s="8"/>
      <c r="D23" s="13"/>
      <c r="E23" s="13"/>
      <c r="F23" s="13">
        <f>SUM(F24:F26)</f>
        <v>0</v>
      </c>
      <c r="G23" s="8"/>
    </row>
    <row r="24" spans="1:7" ht="16" customHeight="1">
      <c r="A24" s="10"/>
      <c r="B24" s="10" t="s">
        <v>23</v>
      </c>
      <c r="C24" s="10" t="s">
        <v>139</v>
      </c>
      <c r="D24" s="11"/>
      <c r="E24" s="11"/>
      <c r="F24" s="11"/>
      <c r="G24" s="12"/>
    </row>
    <row r="25" spans="1:7" ht="16" customHeight="1">
      <c r="A25" s="10"/>
      <c r="B25" s="10" t="s">
        <v>24</v>
      </c>
      <c r="C25" s="10" t="s">
        <v>139</v>
      </c>
      <c r="D25" s="11"/>
      <c r="E25" s="11"/>
      <c r="F25" s="11"/>
      <c r="G25" s="12"/>
    </row>
    <row r="26" spans="1:7" ht="16" customHeight="1">
      <c r="A26" s="10"/>
      <c r="B26" s="10" t="s">
        <v>25</v>
      </c>
      <c r="C26" s="10" t="s">
        <v>139</v>
      </c>
      <c r="D26" s="11"/>
      <c r="E26" s="11"/>
      <c r="F26" s="11"/>
      <c r="G26" s="12"/>
    </row>
    <row r="27" spans="1:7" ht="18" customHeight="1">
      <c r="A27" s="8"/>
      <c r="B27" s="7" t="s">
        <v>26</v>
      </c>
      <c r="C27" s="8"/>
      <c r="D27" s="13"/>
      <c r="E27" s="13"/>
      <c r="F27" s="13">
        <f>SUM(F28:F29)</f>
        <v>0</v>
      </c>
      <c r="G27" s="8"/>
    </row>
    <row r="28" spans="1:7" ht="16" customHeight="1">
      <c r="A28" s="10"/>
      <c r="B28" s="10" t="s">
        <v>23</v>
      </c>
      <c r="C28" s="10" t="s">
        <v>139</v>
      </c>
      <c r="D28" s="11"/>
      <c r="E28" s="14"/>
      <c r="F28" s="11"/>
      <c r="G28" s="15"/>
    </row>
    <row r="29" spans="1:7" ht="16" customHeight="1">
      <c r="A29" s="10"/>
      <c r="B29" s="10" t="s">
        <v>24</v>
      </c>
      <c r="C29" s="10" t="s">
        <v>139</v>
      </c>
      <c r="D29" s="11"/>
      <c r="E29" s="14"/>
      <c r="F29" s="11"/>
      <c r="G29" s="12"/>
    </row>
    <row r="30" spans="1:7" ht="18" customHeight="1">
      <c r="A30" s="8"/>
      <c r="B30" s="7" t="s">
        <v>27</v>
      </c>
      <c r="C30" s="8"/>
      <c r="D30" s="13"/>
      <c r="E30" s="13"/>
      <c r="F30" s="13">
        <f>SUM(F31:F33)</f>
        <v>0</v>
      </c>
      <c r="G30" s="8"/>
    </row>
    <row r="31" spans="1:7" ht="16" customHeight="1">
      <c r="A31" s="10"/>
      <c r="B31" s="10" t="s">
        <v>23</v>
      </c>
      <c r="C31" s="10" t="s">
        <v>139</v>
      </c>
      <c r="D31" s="16"/>
      <c r="E31" s="16"/>
      <c r="F31" s="11"/>
      <c r="G31" s="10"/>
    </row>
    <row r="32" spans="1:7" ht="16" customHeight="1">
      <c r="A32" s="10"/>
      <c r="B32" s="10" t="s">
        <v>24</v>
      </c>
      <c r="C32" s="10" t="s">
        <v>139</v>
      </c>
      <c r="D32" s="16"/>
      <c r="E32" s="16"/>
      <c r="F32" s="11"/>
      <c r="G32" s="10"/>
    </row>
    <row r="33" spans="1:7" ht="16" customHeight="1">
      <c r="A33" s="10"/>
      <c r="B33" s="10" t="s">
        <v>25</v>
      </c>
      <c r="C33" s="10" t="s">
        <v>139</v>
      </c>
      <c r="D33" s="16"/>
      <c r="E33" s="16"/>
      <c r="F33" s="11"/>
      <c r="G33" s="10"/>
    </row>
    <row r="34" spans="1:7" ht="18" customHeight="1" thickBot="1">
      <c r="A34" s="17"/>
      <c r="B34" s="18" t="s">
        <v>28</v>
      </c>
      <c r="C34" s="17"/>
      <c r="D34" s="19"/>
      <c r="E34" s="19"/>
      <c r="F34" s="20">
        <f>F5+F14+F18+F23+F27+F30</f>
        <v>0</v>
      </c>
      <c r="G34" s="17"/>
    </row>
    <row r="35" spans="1:7" ht="22.5" customHeight="1" thickBot="1">
      <c r="A35" s="21" t="s">
        <v>29</v>
      </c>
      <c r="B35" s="22" t="s">
        <v>79</v>
      </c>
      <c r="C35" s="22"/>
    </row>
    <row r="36" spans="1:7" ht="18" customHeight="1">
      <c r="A36" s="23" t="s">
        <v>30</v>
      </c>
      <c r="B36" s="23" t="s">
        <v>31</v>
      </c>
      <c r="C36" s="23" t="s">
        <v>32</v>
      </c>
      <c r="D36" s="23" t="s">
        <v>33</v>
      </c>
      <c r="E36" s="23" t="s">
        <v>34</v>
      </c>
      <c r="F36" s="23" t="s">
        <v>35</v>
      </c>
      <c r="G36" s="23" t="s">
        <v>36</v>
      </c>
    </row>
    <row r="37" spans="1:7" ht="18" customHeight="1">
      <c r="A37" s="24"/>
      <c r="B37" s="25" t="s">
        <v>37</v>
      </c>
      <c r="C37" s="24"/>
      <c r="D37" s="24"/>
      <c r="E37" s="24"/>
      <c r="F37" s="26">
        <f>SUM(F38:F40)</f>
        <v>0</v>
      </c>
      <c r="G37" s="24"/>
    </row>
    <row r="38" spans="1:7" ht="18" customHeight="1">
      <c r="A38" s="27"/>
      <c r="B38" s="28" t="s">
        <v>38</v>
      </c>
      <c r="C38" s="28" t="s">
        <v>39</v>
      </c>
      <c r="D38" s="29"/>
      <c r="E38" s="29"/>
      <c r="F38" s="11"/>
      <c r="G38" s="28"/>
    </row>
    <row r="39" spans="1:7" ht="18" customHeight="1">
      <c r="A39" s="27"/>
      <c r="B39" s="28" t="s">
        <v>142</v>
      </c>
      <c r="C39" s="28" t="s">
        <v>40</v>
      </c>
      <c r="D39" s="29"/>
      <c r="E39" s="29"/>
      <c r="F39" s="11"/>
      <c r="G39" s="28"/>
    </row>
    <row r="40" spans="1:7" ht="18" customHeight="1">
      <c r="A40" s="27"/>
      <c r="B40" s="28"/>
      <c r="C40" s="28"/>
      <c r="D40" s="29"/>
      <c r="E40" s="29"/>
      <c r="F40" s="11"/>
      <c r="G40" s="28"/>
    </row>
    <row r="41" spans="1:7" ht="17.149999999999999" customHeight="1">
      <c r="A41" s="30"/>
      <c r="B41" s="31" t="s">
        <v>41</v>
      </c>
      <c r="C41" s="30"/>
      <c r="D41" s="30"/>
      <c r="E41" s="32"/>
      <c r="F41" s="32"/>
      <c r="G41" s="30"/>
    </row>
    <row r="42" spans="1:7" ht="17.149999999999999" customHeight="1">
      <c r="A42" s="10"/>
      <c r="B42" s="10" t="s">
        <v>42</v>
      </c>
      <c r="C42" s="10" t="s">
        <v>40</v>
      </c>
      <c r="D42" s="10"/>
      <c r="E42" s="33"/>
      <c r="F42" s="11"/>
      <c r="G42" s="10"/>
    </row>
    <row r="43" spans="1:7" ht="16" customHeight="1">
      <c r="A43" s="10"/>
      <c r="B43" s="10" t="s">
        <v>43</v>
      </c>
      <c r="C43" s="10" t="s">
        <v>40</v>
      </c>
      <c r="D43" s="12"/>
      <c r="E43" s="11"/>
      <c r="F43" s="11"/>
      <c r="G43" s="12"/>
    </row>
    <row r="44" spans="1:7" ht="16" customHeight="1">
      <c r="A44" s="10"/>
      <c r="B44" s="10" t="s">
        <v>44</v>
      </c>
      <c r="C44" s="10" t="s">
        <v>40</v>
      </c>
      <c r="D44" s="12"/>
      <c r="E44" s="11"/>
      <c r="F44" s="11"/>
      <c r="G44" s="12"/>
    </row>
    <row r="45" spans="1:7" ht="16" customHeight="1">
      <c r="A45" s="30"/>
      <c r="B45" s="31" t="s">
        <v>45</v>
      </c>
      <c r="C45" s="30"/>
      <c r="D45" s="30"/>
      <c r="E45" s="32"/>
      <c r="F45" s="32"/>
      <c r="G45" s="30"/>
    </row>
    <row r="46" spans="1:7" ht="16" customHeight="1">
      <c r="A46" s="10"/>
      <c r="B46" s="10" t="s">
        <v>46</v>
      </c>
      <c r="C46" s="10" t="s">
        <v>40</v>
      </c>
      <c r="D46" s="12"/>
      <c r="E46" s="11"/>
      <c r="F46" s="11"/>
      <c r="G46" s="12"/>
    </row>
    <row r="47" spans="1:7" ht="16" customHeight="1">
      <c r="A47" s="10"/>
      <c r="B47" s="10" t="s">
        <v>47</v>
      </c>
      <c r="C47" s="10" t="s">
        <v>40</v>
      </c>
      <c r="D47" s="12"/>
      <c r="E47" s="11"/>
      <c r="F47" s="11"/>
      <c r="G47" s="12"/>
    </row>
    <row r="48" spans="1:7" ht="16" customHeight="1">
      <c r="A48" s="30"/>
      <c r="B48" s="31" t="s">
        <v>48</v>
      </c>
      <c r="C48" s="30"/>
      <c r="D48" s="30"/>
      <c r="E48" s="32"/>
      <c r="F48" s="32"/>
      <c r="G48" s="30"/>
    </row>
    <row r="49" spans="1:7" ht="16" customHeight="1">
      <c r="A49" s="10"/>
      <c r="B49" s="10" t="s">
        <v>46</v>
      </c>
      <c r="C49" s="10" t="s">
        <v>40</v>
      </c>
      <c r="D49" s="12"/>
      <c r="E49" s="11"/>
      <c r="F49" s="11"/>
      <c r="G49" s="12"/>
    </row>
    <row r="50" spans="1:7" ht="16" customHeight="1">
      <c r="A50" s="10"/>
      <c r="B50" s="10" t="s">
        <v>43</v>
      </c>
      <c r="C50" s="10" t="s">
        <v>40</v>
      </c>
      <c r="D50" s="12"/>
      <c r="E50" s="11"/>
      <c r="F50" s="11"/>
      <c r="G50" s="12"/>
    </row>
    <row r="51" spans="1:7" ht="16" customHeight="1">
      <c r="A51" s="10"/>
      <c r="B51" s="10" t="s">
        <v>47</v>
      </c>
      <c r="C51" s="10" t="s">
        <v>40</v>
      </c>
      <c r="D51" s="12"/>
      <c r="E51" s="11"/>
      <c r="F51" s="11"/>
      <c r="G51" s="12"/>
    </row>
    <row r="52" spans="1:7" ht="16" customHeight="1">
      <c r="A52" s="30"/>
      <c r="B52" s="31" t="s">
        <v>143</v>
      </c>
      <c r="C52" s="30"/>
      <c r="D52" s="30"/>
      <c r="E52" s="32"/>
      <c r="F52" s="32"/>
      <c r="G52" s="30"/>
    </row>
    <row r="53" spans="1:7" ht="16" customHeight="1">
      <c r="A53" s="57"/>
      <c r="B53" s="57" t="s">
        <v>144</v>
      </c>
      <c r="C53" s="57" t="s">
        <v>160</v>
      </c>
      <c r="D53" s="82"/>
      <c r="E53" s="83"/>
      <c r="F53" s="83"/>
      <c r="G53" s="98" t="s">
        <v>163</v>
      </c>
    </row>
    <row r="54" spans="1:7" ht="16" customHeight="1">
      <c r="A54" s="30"/>
      <c r="B54" s="31" t="s">
        <v>145</v>
      </c>
      <c r="C54" s="30"/>
      <c r="D54" s="30"/>
      <c r="E54" s="32"/>
      <c r="F54" s="32"/>
      <c r="G54" s="99"/>
    </row>
    <row r="55" spans="1:7" ht="16" customHeight="1">
      <c r="A55" s="57"/>
      <c r="B55" s="57" t="s">
        <v>144</v>
      </c>
      <c r="C55" s="57" t="s">
        <v>160</v>
      </c>
      <c r="D55" s="82"/>
      <c r="E55" s="83"/>
      <c r="F55" s="83"/>
      <c r="G55" s="98" t="s">
        <v>163</v>
      </c>
    </row>
    <row r="56" spans="1:7" ht="18" customHeight="1" thickBot="1">
      <c r="A56" s="34"/>
      <c r="B56" s="35" t="s">
        <v>138</v>
      </c>
      <c r="C56" s="34"/>
      <c r="D56" s="34"/>
      <c r="E56" s="34"/>
      <c r="F56" s="36"/>
      <c r="G56" s="34"/>
    </row>
    <row r="57" spans="1:7" ht="18" customHeight="1">
      <c r="B57" s="37"/>
      <c r="F57" s="38"/>
    </row>
    <row r="58" spans="1:7" ht="18" customHeight="1"/>
    <row r="59" spans="1:7" ht="18" customHeight="1">
      <c r="D59" s="103" t="s">
        <v>53</v>
      </c>
      <c r="E59" s="103"/>
      <c r="F59" s="103"/>
      <c r="G59" s="103"/>
    </row>
    <row r="60" spans="1:7" ht="18" customHeight="1">
      <c r="A60" s="100" t="s">
        <v>54</v>
      </c>
      <c r="B60" s="100"/>
      <c r="C60" s="100"/>
      <c r="D60" s="100" t="s">
        <v>55</v>
      </c>
      <c r="E60" s="100"/>
      <c r="F60" s="100"/>
      <c r="G60" s="100"/>
    </row>
    <row r="61" spans="1:7" ht="18" customHeight="1"/>
    <row r="62" spans="1:7" ht="18" customHeight="1"/>
    <row r="63" spans="1:7" ht="18" customHeight="1"/>
    <row r="64" spans="1:7" ht="18" customHeight="1"/>
    <row r="65" ht="18" customHeight="1"/>
    <row r="66" ht="18" customHeight="1"/>
    <row r="67" ht="18" customHeight="1"/>
    <row r="68" ht="18" customHeight="1"/>
    <row r="69" ht="18" customHeight="1"/>
  </sheetData>
  <mergeCells count="4">
    <mergeCell ref="A1:G1"/>
    <mergeCell ref="D59:G59"/>
    <mergeCell ref="A60:C60"/>
    <mergeCell ref="D60:G60"/>
  </mergeCells>
  <printOptions horizontalCentered="1"/>
  <pageMargins left="0.5" right="0.25" top="0.59055118110236204" bottom="0.78740157480314998" header="0.511811023622047" footer="0.511811023622047"/>
  <pageSetup paperSize="9" orientation="portrait" r:id="rId1"/>
  <headerFooter alignWithMargins="0">
    <oddFooter>&amp;R&amp;P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CAF06-08EE-463A-97E6-01EBB7A1B4CD}">
  <dimension ref="A3:I125"/>
  <sheetViews>
    <sheetView topLeftCell="A82" zoomScale="70" zoomScaleNormal="70" workbookViewId="0">
      <selection activeCell="P11" sqref="P11"/>
    </sheetView>
  </sheetViews>
  <sheetFormatPr defaultColWidth="9" defaultRowHeight="13.5"/>
  <cols>
    <col min="1" max="1" width="10.33203125" style="1" bestFit="1" customWidth="1"/>
    <col min="2" max="2" width="30.1640625" style="1" bestFit="1" customWidth="1"/>
    <col min="3" max="3" width="8.33203125" style="1" customWidth="1"/>
    <col min="4" max="4" width="9" style="1"/>
    <col min="5" max="5" width="9.1640625" style="1" customWidth="1"/>
    <col min="6" max="6" width="10.6640625" style="1" bestFit="1" customWidth="1"/>
    <col min="7" max="7" width="30.75" style="1" customWidth="1"/>
    <col min="8" max="8" width="52.83203125" style="1" customWidth="1"/>
    <col min="9" max="16384" width="9" style="1"/>
  </cols>
  <sheetData>
    <row r="3" spans="1:7" ht="19.5">
      <c r="A3" s="101" t="s">
        <v>56</v>
      </c>
      <c r="B3" s="101"/>
      <c r="C3" s="101"/>
      <c r="D3" s="101"/>
      <c r="E3" s="101"/>
      <c r="F3" s="101"/>
      <c r="G3" s="101"/>
    </row>
    <row r="5" spans="1:7" ht="15">
      <c r="A5" s="105" t="s">
        <v>117</v>
      </c>
      <c r="B5" s="106"/>
      <c r="C5" s="106"/>
      <c r="D5" s="106"/>
      <c r="E5" s="106"/>
      <c r="F5" s="106"/>
      <c r="G5" s="107"/>
    </row>
    <row r="6" spans="1:7">
      <c r="A6" s="112" t="s">
        <v>118</v>
      </c>
      <c r="B6" s="113"/>
      <c r="C6" s="116" t="s">
        <v>125</v>
      </c>
      <c r="D6" s="116"/>
      <c r="E6" s="116"/>
      <c r="F6" s="116"/>
      <c r="G6" s="116"/>
    </row>
    <row r="7" spans="1:7">
      <c r="A7" s="114"/>
      <c r="B7" s="115"/>
      <c r="C7" s="76" t="s">
        <v>126</v>
      </c>
      <c r="D7" s="76" t="s">
        <v>127</v>
      </c>
      <c r="E7" s="76" t="s">
        <v>128</v>
      </c>
      <c r="F7" s="76" t="s">
        <v>129</v>
      </c>
      <c r="G7" s="76" t="s">
        <v>130</v>
      </c>
    </row>
    <row r="8" spans="1:7">
      <c r="A8" s="110" t="s">
        <v>38</v>
      </c>
      <c r="B8" s="111"/>
      <c r="C8" s="74"/>
      <c r="D8" s="74"/>
      <c r="E8" s="74"/>
      <c r="F8" s="74"/>
      <c r="G8" s="74"/>
    </row>
    <row r="9" spans="1:7">
      <c r="A9" s="58" t="s">
        <v>119</v>
      </c>
      <c r="B9" s="75" t="s">
        <v>120</v>
      </c>
      <c r="C9" s="74"/>
      <c r="D9" s="74"/>
      <c r="E9" s="74"/>
      <c r="F9" s="74"/>
      <c r="G9" s="74"/>
    </row>
    <row r="10" spans="1:7">
      <c r="A10" s="58" t="s">
        <v>121</v>
      </c>
      <c r="B10" s="75" t="s">
        <v>120</v>
      </c>
      <c r="C10" s="74"/>
      <c r="D10" s="74"/>
      <c r="E10" s="74"/>
      <c r="F10" s="74"/>
      <c r="G10" s="74"/>
    </row>
    <row r="11" spans="1:7">
      <c r="A11" s="58" t="s">
        <v>122</v>
      </c>
      <c r="B11" s="75" t="s">
        <v>120</v>
      </c>
      <c r="C11" s="74"/>
      <c r="D11" s="74"/>
      <c r="E11" s="74"/>
      <c r="F11" s="74"/>
      <c r="G11" s="74"/>
    </row>
    <row r="12" spans="1:7">
      <c r="A12" s="58" t="s">
        <v>123</v>
      </c>
      <c r="B12" s="75" t="s">
        <v>120</v>
      </c>
      <c r="C12" s="74"/>
      <c r="D12" s="74"/>
      <c r="E12" s="74"/>
      <c r="F12" s="74"/>
      <c r="G12" s="74"/>
    </row>
    <row r="13" spans="1:7">
      <c r="A13" s="58" t="s">
        <v>124</v>
      </c>
      <c r="B13" s="75" t="s">
        <v>120</v>
      </c>
      <c r="C13" s="74"/>
      <c r="D13" s="74"/>
      <c r="E13" s="74"/>
      <c r="F13" s="74"/>
      <c r="G13" s="74"/>
    </row>
    <row r="15" spans="1:7" ht="14" thickBot="1">
      <c r="A15" s="102" t="s">
        <v>57</v>
      </c>
      <c r="B15" s="102"/>
      <c r="C15" s="102"/>
      <c r="D15" s="4"/>
      <c r="E15" s="4"/>
      <c r="F15" s="4"/>
      <c r="G15" s="4"/>
    </row>
    <row r="16" spans="1:7" ht="37" customHeight="1">
      <c r="A16" s="5" t="s">
        <v>49</v>
      </c>
      <c r="B16" s="5" t="s">
        <v>58</v>
      </c>
      <c r="C16" s="5" t="s">
        <v>32</v>
      </c>
      <c r="D16" s="5" t="s">
        <v>33</v>
      </c>
      <c r="E16" s="5" t="s">
        <v>59</v>
      </c>
      <c r="F16" s="5" t="s">
        <v>35</v>
      </c>
      <c r="G16" s="5" t="s">
        <v>36</v>
      </c>
    </row>
    <row r="17" spans="1:7" ht="18" customHeight="1">
      <c r="A17" s="8"/>
      <c r="B17" s="7" t="s">
        <v>60</v>
      </c>
      <c r="C17" s="8"/>
      <c r="D17" s="8"/>
      <c r="E17" s="8"/>
      <c r="F17" s="9">
        <f>SUM(F18:F22)</f>
        <v>0</v>
      </c>
      <c r="G17" s="8"/>
    </row>
    <row r="18" spans="1:7" ht="16" customHeight="1">
      <c r="A18" s="10"/>
      <c r="B18" s="10" t="s">
        <v>61</v>
      </c>
      <c r="C18" s="10" t="s">
        <v>139</v>
      </c>
      <c r="D18" s="12"/>
      <c r="E18" s="11"/>
      <c r="F18" s="11">
        <f>D18*E18</f>
        <v>0</v>
      </c>
      <c r="G18" s="12"/>
    </row>
    <row r="19" spans="1:7" ht="16" customHeight="1">
      <c r="A19" s="10"/>
      <c r="B19" s="10" t="s">
        <v>62</v>
      </c>
      <c r="C19" s="10" t="s">
        <v>139</v>
      </c>
      <c r="D19" s="12"/>
      <c r="E19" s="11"/>
      <c r="F19" s="11">
        <f t="shared" ref="F19:F41" si="0">D19*E19</f>
        <v>0</v>
      </c>
      <c r="G19" s="12"/>
    </row>
    <row r="20" spans="1:7" ht="16" customHeight="1">
      <c r="A20" s="10"/>
      <c r="B20" s="10" t="s">
        <v>63</v>
      </c>
      <c r="C20" s="10" t="s">
        <v>139</v>
      </c>
      <c r="D20" s="12"/>
      <c r="E20" s="11"/>
      <c r="F20" s="11">
        <f t="shared" si="0"/>
        <v>0</v>
      </c>
      <c r="G20" s="12"/>
    </row>
    <row r="21" spans="1:7" ht="16" customHeight="1">
      <c r="A21" s="10"/>
      <c r="B21" s="10" t="s">
        <v>64</v>
      </c>
      <c r="C21" s="10" t="s">
        <v>139</v>
      </c>
      <c r="D21" s="12"/>
      <c r="E21" s="11"/>
      <c r="F21" s="11">
        <f t="shared" si="0"/>
        <v>0</v>
      </c>
      <c r="G21" s="12"/>
    </row>
    <row r="22" spans="1:7" ht="16" customHeight="1">
      <c r="A22" s="10"/>
      <c r="B22" s="10"/>
      <c r="C22" s="10"/>
      <c r="D22" s="12"/>
      <c r="E22" s="11"/>
      <c r="F22" s="11">
        <f t="shared" si="0"/>
        <v>0</v>
      </c>
      <c r="G22" s="12"/>
    </row>
    <row r="23" spans="1:7" ht="18" customHeight="1">
      <c r="A23" s="8"/>
      <c r="B23" s="7" t="s">
        <v>65</v>
      </c>
      <c r="C23" s="8"/>
      <c r="D23" s="8"/>
      <c r="E23" s="13"/>
      <c r="F23" s="13">
        <f>SUM(F24:F27)</f>
        <v>0</v>
      </c>
      <c r="G23" s="8"/>
    </row>
    <row r="24" spans="1:7" ht="16" customHeight="1">
      <c r="A24" s="10"/>
      <c r="B24" s="10" t="s">
        <v>61</v>
      </c>
      <c r="C24" s="10" t="s">
        <v>139</v>
      </c>
      <c r="D24" s="12"/>
      <c r="E24" s="11"/>
      <c r="F24" s="11">
        <f t="shared" si="0"/>
        <v>0</v>
      </c>
      <c r="G24" s="12"/>
    </row>
    <row r="25" spans="1:7" ht="16" customHeight="1">
      <c r="A25" s="10"/>
      <c r="B25" s="10" t="s">
        <v>62</v>
      </c>
      <c r="C25" s="10" t="s">
        <v>139</v>
      </c>
      <c r="D25" s="15"/>
      <c r="E25" s="11"/>
      <c r="F25" s="11">
        <f t="shared" si="0"/>
        <v>0</v>
      </c>
      <c r="G25" s="15"/>
    </row>
    <row r="26" spans="1:7" ht="16" customHeight="1">
      <c r="A26" s="10"/>
      <c r="B26" s="10" t="s">
        <v>63</v>
      </c>
      <c r="C26" s="10" t="s">
        <v>139</v>
      </c>
      <c r="D26" s="15"/>
      <c r="E26" s="14"/>
      <c r="F26" s="11">
        <f t="shared" si="0"/>
        <v>0</v>
      </c>
      <c r="G26" s="15"/>
    </row>
    <row r="27" spans="1:7" ht="16" customHeight="1">
      <c r="A27" s="10"/>
      <c r="B27" s="10" t="s">
        <v>64</v>
      </c>
      <c r="C27" s="10" t="s">
        <v>139</v>
      </c>
      <c r="D27" s="15"/>
      <c r="E27" s="14"/>
      <c r="F27" s="11">
        <f t="shared" si="0"/>
        <v>0</v>
      </c>
      <c r="G27" s="15"/>
    </row>
    <row r="28" spans="1:7" ht="18" customHeight="1">
      <c r="A28" s="8"/>
      <c r="B28" s="7" t="s">
        <v>27</v>
      </c>
      <c r="C28" s="8"/>
      <c r="D28" s="8"/>
      <c r="E28" s="13"/>
      <c r="F28" s="13">
        <f>SUM(F29:F32)</f>
        <v>0</v>
      </c>
      <c r="G28" s="8"/>
    </row>
    <row r="29" spans="1:7" ht="16" customHeight="1">
      <c r="A29" s="10"/>
      <c r="B29" s="10" t="s">
        <v>61</v>
      </c>
      <c r="C29" s="10" t="s">
        <v>139</v>
      </c>
      <c r="D29" s="12"/>
      <c r="E29" s="11"/>
      <c r="F29" s="11">
        <f t="shared" si="0"/>
        <v>0</v>
      </c>
      <c r="G29" s="12"/>
    </row>
    <row r="30" spans="1:7" ht="16" customHeight="1">
      <c r="A30" s="10"/>
      <c r="B30" s="10" t="s">
        <v>62</v>
      </c>
      <c r="C30" s="10" t="s">
        <v>139</v>
      </c>
      <c r="D30" s="12"/>
      <c r="E30" s="11"/>
      <c r="F30" s="11">
        <f t="shared" si="0"/>
        <v>0</v>
      </c>
      <c r="G30" s="12"/>
    </row>
    <row r="31" spans="1:7" ht="16" customHeight="1">
      <c r="A31" s="10"/>
      <c r="B31" s="10" t="s">
        <v>63</v>
      </c>
      <c r="C31" s="10" t="s">
        <v>139</v>
      </c>
      <c r="D31" s="12"/>
      <c r="E31" s="11"/>
      <c r="F31" s="11">
        <f t="shared" si="0"/>
        <v>0</v>
      </c>
      <c r="G31" s="12"/>
    </row>
    <row r="32" spans="1:7" ht="16" customHeight="1">
      <c r="A32" s="10"/>
      <c r="B32" s="10" t="s">
        <v>64</v>
      </c>
      <c r="C32" s="10" t="s">
        <v>139</v>
      </c>
      <c r="D32" s="12"/>
      <c r="E32" s="11"/>
      <c r="F32" s="11">
        <f t="shared" si="0"/>
        <v>0</v>
      </c>
      <c r="G32" s="12"/>
    </row>
    <row r="33" spans="1:9" ht="18" customHeight="1">
      <c r="A33" s="8"/>
      <c r="B33" s="7" t="s">
        <v>66</v>
      </c>
      <c r="C33" s="8"/>
      <c r="D33" s="8"/>
      <c r="E33" s="13"/>
      <c r="F33" s="13">
        <f>SUM(F34:F37)</f>
        <v>0</v>
      </c>
      <c r="G33" s="8"/>
      <c r="I33" s="47"/>
    </row>
    <row r="34" spans="1:9" ht="16" customHeight="1">
      <c r="A34" s="10"/>
      <c r="B34" s="10" t="s">
        <v>61</v>
      </c>
      <c r="C34" s="10" t="s">
        <v>139</v>
      </c>
      <c r="D34" s="12"/>
      <c r="E34" s="11"/>
      <c r="F34" s="11">
        <f t="shared" si="0"/>
        <v>0</v>
      </c>
      <c r="G34" s="12"/>
    </row>
    <row r="35" spans="1:9" ht="16" customHeight="1">
      <c r="A35" s="10"/>
      <c r="B35" s="10" t="s">
        <v>62</v>
      </c>
      <c r="C35" s="10" t="s">
        <v>139</v>
      </c>
      <c r="D35" s="12"/>
      <c r="E35" s="11"/>
      <c r="F35" s="11">
        <f t="shared" si="0"/>
        <v>0</v>
      </c>
      <c r="G35" s="12"/>
    </row>
    <row r="36" spans="1:9" ht="16" customHeight="1">
      <c r="A36" s="10"/>
      <c r="B36" s="10" t="s">
        <v>63</v>
      </c>
      <c r="C36" s="10" t="s">
        <v>139</v>
      </c>
      <c r="D36" s="12"/>
      <c r="E36" s="11"/>
      <c r="F36" s="11">
        <f t="shared" si="0"/>
        <v>0</v>
      </c>
      <c r="G36" s="12"/>
    </row>
    <row r="37" spans="1:9" ht="16" customHeight="1">
      <c r="A37" s="10"/>
      <c r="B37" s="10" t="s">
        <v>64</v>
      </c>
      <c r="C37" s="10" t="s">
        <v>139</v>
      </c>
      <c r="D37" s="12"/>
      <c r="E37" s="11"/>
      <c r="F37" s="11">
        <f t="shared" si="0"/>
        <v>0</v>
      </c>
      <c r="G37" s="12"/>
    </row>
    <row r="38" spans="1:9" ht="18" customHeight="1">
      <c r="A38" s="8"/>
      <c r="B38" s="7" t="s">
        <v>67</v>
      </c>
      <c r="C38" s="8"/>
      <c r="D38" s="8"/>
      <c r="E38" s="13"/>
      <c r="F38" s="13">
        <f>SUM(F39:F41)</f>
        <v>0</v>
      </c>
      <c r="G38" s="8"/>
    </row>
    <row r="39" spans="1:9" ht="16" customHeight="1">
      <c r="A39" s="10"/>
      <c r="B39" s="10" t="s">
        <v>61</v>
      </c>
      <c r="C39" s="10" t="s">
        <v>139</v>
      </c>
      <c r="D39" s="15"/>
      <c r="E39" s="14"/>
      <c r="F39" s="11">
        <f t="shared" si="0"/>
        <v>0</v>
      </c>
      <c r="G39" s="15"/>
    </row>
    <row r="40" spans="1:9" ht="16" customHeight="1">
      <c r="A40" s="10"/>
      <c r="B40" s="10" t="s">
        <v>62</v>
      </c>
      <c r="C40" s="10" t="s">
        <v>139</v>
      </c>
      <c r="D40" s="12"/>
      <c r="E40" s="14"/>
      <c r="F40" s="11">
        <f t="shared" si="0"/>
        <v>0</v>
      </c>
      <c r="G40" s="12"/>
    </row>
    <row r="41" spans="1:9" ht="16" customHeight="1">
      <c r="A41" s="10"/>
      <c r="B41" s="10" t="s">
        <v>63</v>
      </c>
      <c r="C41" s="10" t="s">
        <v>139</v>
      </c>
      <c r="D41" s="12"/>
      <c r="E41" s="11"/>
      <c r="F41" s="11">
        <f t="shared" si="0"/>
        <v>0</v>
      </c>
      <c r="G41" s="12"/>
    </row>
    <row r="42" spans="1:9" ht="18" customHeight="1">
      <c r="A42" s="8"/>
      <c r="B42" s="7" t="s">
        <v>68</v>
      </c>
      <c r="C42" s="8"/>
      <c r="D42" s="8"/>
      <c r="E42" s="13"/>
      <c r="F42" s="13">
        <f>SUM(F43:F46)</f>
        <v>0</v>
      </c>
      <c r="G42" s="8"/>
    </row>
    <row r="43" spans="1:9" ht="16" customHeight="1">
      <c r="A43" s="10"/>
      <c r="B43" s="10" t="s">
        <v>61</v>
      </c>
      <c r="C43" s="10" t="s">
        <v>139</v>
      </c>
      <c r="D43" s="12"/>
      <c r="E43" s="11"/>
      <c r="F43" s="11">
        <f>D43*E43</f>
        <v>0</v>
      </c>
      <c r="G43" s="12"/>
    </row>
    <row r="44" spans="1:9" ht="16" customHeight="1">
      <c r="A44" s="10"/>
      <c r="B44" s="10" t="s">
        <v>62</v>
      </c>
      <c r="C44" s="10" t="s">
        <v>139</v>
      </c>
      <c r="D44" s="12"/>
      <c r="E44" s="11"/>
      <c r="F44" s="11">
        <f t="shared" ref="F44:F46" si="1">D44*E44</f>
        <v>0</v>
      </c>
      <c r="G44" s="12"/>
    </row>
    <row r="45" spans="1:9" ht="16" customHeight="1">
      <c r="A45" s="10"/>
      <c r="B45" s="10" t="s">
        <v>63</v>
      </c>
      <c r="C45" s="10" t="s">
        <v>139</v>
      </c>
      <c r="D45" s="12"/>
      <c r="E45" s="11"/>
      <c r="F45" s="11">
        <f t="shared" si="1"/>
        <v>0</v>
      </c>
      <c r="G45" s="12"/>
    </row>
    <row r="46" spans="1:9" ht="16" customHeight="1">
      <c r="A46" s="10"/>
      <c r="B46" s="10" t="s">
        <v>64</v>
      </c>
      <c r="C46" s="10" t="s">
        <v>139</v>
      </c>
      <c r="D46" s="12"/>
      <c r="E46" s="11"/>
      <c r="F46" s="11">
        <f t="shared" si="1"/>
        <v>0</v>
      </c>
      <c r="G46" s="12"/>
    </row>
    <row r="47" spans="1:9" ht="18" customHeight="1" thickBot="1">
      <c r="A47" s="17"/>
      <c r="B47" s="18" t="s">
        <v>28</v>
      </c>
      <c r="C47" s="17"/>
      <c r="D47" s="17"/>
      <c r="E47" s="19"/>
      <c r="F47" s="20">
        <f>F17+F23+F28+F33+F38+F42</f>
        <v>0</v>
      </c>
      <c r="G47" s="17"/>
    </row>
    <row r="48" spans="1:9" ht="22.5" customHeight="1" thickBot="1">
      <c r="A48" s="102" t="s">
        <v>69</v>
      </c>
      <c r="B48" s="102"/>
      <c r="C48" s="102"/>
      <c r="E48" s="48"/>
      <c r="F48" s="49"/>
    </row>
    <row r="49" spans="1:8" ht="18" customHeight="1">
      <c r="A49" s="23" t="s">
        <v>49</v>
      </c>
      <c r="B49" s="66" t="s">
        <v>70</v>
      </c>
      <c r="C49" s="71" t="s">
        <v>98</v>
      </c>
      <c r="D49" s="65" t="s">
        <v>32</v>
      </c>
      <c r="E49" s="23" t="s">
        <v>33</v>
      </c>
      <c r="F49" s="50" t="s">
        <v>34</v>
      </c>
      <c r="G49" s="50" t="s">
        <v>35</v>
      </c>
      <c r="H49" s="23" t="s">
        <v>36</v>
      </c>
    </row>
    <row r="50" spans="1:8" ht="17.149999999999999" customHeight="1">
      <c r="A50" s="30"/>
      <c r="B50" s="67" t="s">
        <v>60</v>
      </c>
      <c r="C50" s="61"/>
      <c r="D50" s="69"/>
      <c r="E50" s="30"/>
      <c r="F50" s="32"/>
      <c r="G50" s="32">
        <f>SUM(G56:G60)</f>
        <v>0</v>
      </c>
      <c r="H50" s="30"/>
    </row>
    <row r="51" spans="1:8" ht="16" customHeight="1">
      <c r="A51" s="10"/>
      <c r="B51" s="68" t="s">
        <v>147</v>
      </c>
      <c r="C51" s="58"/>
      <c r="D51" s="70" t="s">
        <v>157</v>
      </c>
      <c r="E51" s="12"/>
      <c r="F51" s="11"/>
      <c r="G51" s="11"/>
      <c r="H51" s="12"/>
    </row>
    <row r="52" spans="1:8" ht="16" customHeight="1">
      <c r="A52" s="10"/>
      <c r="B52" s="68" t="s">
        <v>149</v>
      </c>
      <c r="C52" s="58"/>
      <c r="D52" s="70" t="s">
        <v>158</v>
      </c>
      <c r="E52" s="12"/>
      <c r="F52" s="11"/>
      <c r="G52" s="11"/>
      <c r="H52" s="12"/>
    </row>
    <row r="53" spans="1:8" ht="16" customHeight="1">
      <c r="A53" s="10"/>
      <c r="B53" s="68" t="s">
        <v>148</v>
      </c>
      <c r="C53" s="58"/>
      <c r="D53" s="70" t="s">
        <v>157</v>
      </c>
      <c r="E53" s="12"/>
      <c r="F53" s="11"/>
      <c r="G53" s="11"/>
      <c r="H53" s="12"/>
    </row>
    <row r="54" spans="1:8" ht="16" customHeight="1">
      <c r="A54" s="10"/>
      <c r="B54" s="68" t="s">
        <v>150</v>
      </c>
      <c r="C54" s="58"/>
      <c r="D54" s="70" t="s">
        <v>158</v>
      </c>
      <c r="E54" s="12"/>
      <c r="F54" s="11"/>
      <c r="G54" s="11"/>
      <c r="H54" s="12"/>
    </row>
    <row r="55" spans="1:8" ht="16" customHeight="1">
      <c r="A55" s="10"/>
      <c r="B55" s="68" t="s">
        <v>151</v>
      </c>
      <c r="C55" s="58"/>
      <c r="D55" s="70" t="s">
        <v>157</v>
      </c>
      <c r="E55" s="12"/>
      <c r="F55" s="11"/>
      <c r="G55" s="11"/>
      <c r="H55" s="12"/>
    </row>
    <row r="56" spans="1:8" ht="16" customHeight="1">
      <c r="A56" s="10"/>
      <c r="B56" s="68" t="s">
        <v>152</v>
      </c>
      <c r="C56" s="58"/>
      <c r="D56" s="70" t="s">
        <v>158</v>
      </c>
      <c r="E56" s="12"/>
      <c r="F56" s="11"/>
      <c r="G56" s="11">
        <f>E56*F56</f>
        <v>0</v>
      </c>
      <c r="H56" s="12"/>
    </row>
    <row r="57" spans="1:8" ht="16" customHeight="1">
      <c r="A57" s="10"/>
      <c r="B57" s="68" t="s">
        <v>153</v>
      </c>
      <c r="C57" s="58"/>
      <c r="D57" s="70" t="s">
        <v>157</v>
      </c>
      <c r="E57" s="12"/>
      <c r="F57" s="11"/>
      <c r="G57" s="11">
        <f>E57*F57</f>
        <v>0</v>
      </c>
      <c r="H57" s="12"/>
    </row>
    <row r="58" spans="1:8" ht="16" customHeight="1">
      <c r="A58" s="10"/>
      <c r="B58" s="68" t="s">
        <v>154</v>
      </c>
      <c r="C58" s="58"/>
      <c r="D58" s="70" t="s">
        <v>158</v>
      </c>
      <c r="E58" s="12"/>
      <c r="F58" s="11"/>
      <c r="G58" s="11">
        <f>E58*F58</f>
        <v>0</v>
      </c>
      <c r="H58" s="12"/>
    </row>
    <row r="59" spans="1:8" ht="16" customHeight="1">
      <c r="A59" s="10"/>
      <c r="B59" s="68" t="s">
        <v>155</v>
      </c>
      <c r="C59" s="58"/>
      <c r="D59" s="70" t="s">
        <v>157</v>
      </c>
      <c r="E59" s="12"/>
      <c r="F59" s="11"/>
      <c r="G59" s="11">
        <f>E59*F59</f>
        <v>0</v>
      </c>
      <c r="H59" s="12"/>
    </row>
    <row r="60" spans="1:8" ht="16" customHeight="1">
      <c r="A60" s="10"/>
      <c r="B60" s="68" t="s">
        <v>156</v>
      </c>
      <c r="C60" s="58"/>
      <c r="D60" s="70" t="s">
        <v>158</v>
      </c>
      <c r="E60" s="12"/>
      <c r="F60" s="11"/>
      <c r="G60" s="11">
        <f>E60*F60</f>
        <v>0</v>
      </c>
      <c r="H60" s="12"/>
    </row>
    <row r="61" spans="1:8" ht="17.149999999999999" customHeight="1">
      <c r="A61" s="30"/>
      <c r="B61" s="31" t="s">
        <v>66</v>
      </c>
      <c r="C61" s="59"/>
      <c r="D61" s="30"/>
      <c r="E61" s="30"/>
      <c r="F61" s="32"/>
      <c r="G61" s="32">
        <f>SUM(G62:G81)</f>
        <v>0</v>
      </c>
      <c r="H61" s="30"/>
    </row>
    <row r="62" spans="1:8" ht="16" customHeight="1">
      <c r="A62" s="10"/>
      <c r="B62" s="10" t="s">
        <v>82</v>
      </c>
      <c r="C62" s="73" t="s">
        <v>99</v>
      </c>
      <c r="D62" s="10" t="s">
        <v>40</v>
      </c>
      <c r="E62" s="12"/>
      <c r="F62" s="11"/>
      <c r="G62" s="11">
        <f>E62*F62</f>
        <v>0</v>
      </c>
      <c r="H62" s="72" t="s">
        <v>116</v>
      </c>
    </row>
    <row r="63" spans="1:8" ht="16" customHeight="1">
      <c r="A63" s="10"/>
      <c r="B63" s="10" t="s">
        <v>83</v>
      </c>
      <c r="C63" s="73" t="s">
        <v>46</v>
      </c>
      <c r="D63" s="10" t="s">
        <v>40</v>
      </c>
      <c r="E63" s="12"/>
      <c r="F63" s="11"/>
      <c r="G63" s="11">
        <f t="shared" ref="G63:G81" si="2">E63*F63</f>
        <v>0</v>
      </c>
      <c r="H63" s="72" t="s">
        <v>116</v>
      </c>
    </row>
    <row r="64" spans="1:8" ht="16" customHeight="1">
      <c r="A64" s="10"/>
      <c r="B64" s="10" t="s">
        <v>84</v>
      </c>
      <c r="C64" s="10"/>
      <c r="D64" s="10" t="s">
        <v>40</v>
      </c>
      <c r="E64" s="12"/>
      <c r="F64" s="11"/>
      <c r="G64" s="11">
        <f t="shared" si="2"/>
        <v>0</v>
      </c>
      <c r="H64" s="72" t="s">
        <v>116</v>
      </c>
    </row>
    <row r="65" spans="1:8" ht="16" customHeight="1">
      <c r="A65" s="10"/>
      <c r="B65" s="10" t="s">
        <v>85</v>
      </c>
      <c r="C65" s="10"/>
      <c r="D65" s="10" t="s">
        <v>40</v>
      </c>
      <c r="E65" s="12"/>
      <c r="F65" s="11"/>
      <c r="G65" s="11">
        <f t="shared" si="2"/>
        <v>0</v>
      </c>
      <c r="H65" s="72" t="s">
        <v>116</v>
      </c>
    </row>
    <row r="66" spans="1:8" ht="16" customHeight="1">
      <c r="A66" s="10"/>
      <c r="B66" s="10" t="s">
        <v>106</v>
      </c>
      <c r="C66" s="10"/>
      <c r="D66" s="10" t="s">
        <v>40</v>
      </c>
      <c r="E66" s="12"/>
      <c r="F66" s="11"/>
      <c r="G66" s="11">
        <f t="shared" si="2"/>
        <v>0</v>
      </c>
      <c r="H66" s="72" t="s">
        <v>116</v>
      </c>
    </row>
    <row r="67" spans="1:8" ht="16" customHeight="1">
      <c r="A67" s="10"/>
      <c r="B67" s="10" t="s">
        <v>86</v>
      </c>
      <c r="C67" s="10"/>
      <c r="D67" s="10" t="s">
        <v>40</v>
      </c>
      <c r="E67" s="12"/>
      <c r="F67" s="11"/>
      <c r="G67" s="11">
        <f t="shared" si="2"/>
        <v>0</v>
      </c>
      <c r="H67" s="72" t="s">
        <v>116</v>
      </c>
    </row>
    <row r="68" spans="1:8" ht="16" customHeight="1">
      <c r="A68" s="10"/>
      <c r="B68" s="10" t="s">
        <v>87</v>
      </c>
      <c r="C68" s="10"/>
      <c r="D68" s="10" t="s">
        <v>40</v>
      </c>
      <c r="E68" s="12"/>
      <c r="F68" s="11"/>
      <c r="G68" s="11">
        <f t="shared" si="2"/>
        <v>0</v>
      </c>
      <c r="H68" s="72" t="s">
        <v>116</v>
      </c>
    </row>
    <row r="69" spans="1:8" ht="16" customHeight="1">
      <c r="A69" s="10"/>
      <c r="B69" s="10" t="s">
        <v>88</v>
      </c>
      <c r="C69" s="10"/>
      <c r="D69" s="10" t="s">
        <v>40</v>
      </c>
      <c r="E69" s="12"/>
      <c r="F69" s="11"/>
      <c r="G69" s="11">
        <f t="shared" si="2"/>
        <v>0</v>
      </c>
      <c r="H69" s="72" t="s">
        <v>116</v>
      </c>
    </row>
    <row r="70" spans="1:8" ht="16" customHeight="1">
      <c r="A70" s="10"/>
      <c r="B70" s="10" t="s">
        <v>89</v>
      </c>
      <c r="C70" s="10"/>
      <c r="D70" s="10" t="s">
        <v>40</v>
      </c>
      <c r="E70" s="12"/>
      <c r="F70" s="11"/>
      <c r="G70" s="11">
        <f t="shared" si="2"/>
        <v>0</v>
      </c>
      <c r="H70" s="72" t="s">
        <v>116</v>
      </c>
    </row>
    <row r="71" spans="1:8" ht="16" customHeight="1">
      <c r="A71" s="10"/>
      <c r="B71" s="10" t="s">
        <v>107</v>
      </c>
      <c r="C71" s="10"/>
      <c r="D71" s="10" t="s">
        <v>40</v>
      </c>
      <c r="E71" s="12"/>
      <c r="F71" s="11"/>
      <c r="G71" s="11">
        <f t="shared" si="2"/>
        <v>0</v>
      </c>
      <c r="H71" s="72" t="s">
        <v>116</v>
      </c>
    </row>
    <row r="72" spans="1:8" ht="16" customHeight="1">
      <c r="A72" s="10"/>
      <c r="B72" s="10" t="s">
        <v>90</v>
      </c>
      <c r="C72" s="10"/>
      <c r="D72" s="10" t="s">
        <v>40</v>
      </c>
      <c r="E72" s="12"/>
      <c r="F72" s="11"/>
      <c r="G72" s="11">
        <f t="shared" si="2"/>
        <v>0</v>
      </c>
      <c r="H72" s="72" t="s">
        <v>116</v>
      </c>
    </row>
    <row r="73" spans="1:8" ht="16" customHeight="1">
      <c r="A73" s="10"/>
      <c r="B73" s="10" t="s">
        <v>91</v>
      </c>
      <c r="C73" s="10"/>
      <c r="D73" s="10" t="s">
        <v>40</v>
      </c>
      <c r="E73" s="12"/>
      <c r="F73" s="11"/>
      <c r="G73" s="11">
        <f t="shared" si="2"/>
        <v>0</v>
      </c>
      <c r="H73" s="72" t="s">
        <v>116</v>
      </c>
    </row>
    <row r="74" spans="1:8" ht="16" customHeight="1">
      <c r="A74" s="10"/>
      <c r="B74" s="10" t="s">
        <v>92</v>
      </c>
      <c r="C74" s="10"/>
      <c r="D74" s="10" t="s">
        <v>40</v>
      </c>
      <c r="E74" s="12"/>
      <c r="F74" s="11"/>
      <c r="G74" s="11">
        <f t="shared" si="2"/>
        <v>0</v>
      </c>
      <c r="H74" s="72" t="s">
        <v>116</v>
      </c>
    </row>
    <row r="75" spans="1:8" ht="16" customHeight="1">
      <c r="A75" s="10"/>
      <c r="B75" s="10" t="s">
        <v>93</v>
      </c>
      <c r="C75" s="10"/>
      <c r="D75" s="10" t="s">
        <v>40</v>
      </c>
      <c r="E75" s="12"/>
      <c r="F75" s="11"/>
      <c r="G75" s="11">
        <f t="shared" si="2"/>
        <v>0</v>
      </c>
      <c r="H75" s="72" t="s">
        <v>116</v>
      </c>
    </row>
    <row r="76" spans="1:8" ht="16" customHeight="1">
      <c r="A76" s="10"/>
      <c r="B76" s="10" t="s">
        <v>108</v>
      </c>
      <c r="C76" s="10"/>
      <c r="D76" s="10" t="s">
        <v>40</v>
      </c>
      <c r="E76" s="12"/>
      <c r="F76" s="11"/>
      <c r="G76" s="11">
        <f t="shared" si="2"/>
        <v>0</v>
      </c>
      <c r="H76" s="72" t="s">
        <v>116</v>
      </c>
    </row>
    <row r="77" spans="1:8" ht="16" customHeight="1">
      <c r="A77" s="10"/>
      <c r="B77" s="10" t="s">
        <v>94</v>
      </c>
      <c r="C77" s="10"/>
      <c r="D77" s="10" t="s">
        <v>40</v>
      </c>
      <c r="E77" s="12"/>
      <c r="F77" s="11"/>
      <c r="G77" s="11">
        <f t="shared" si="2"/>
        <v>0</v>
      </c>
      <c r="H77" s="72" t="s">
        <v>116</v>
      </c>
    </row>
    <row r="78" spans="1:8" ht="16" customHeight="1">
      <c r="A78" s="10"/>
      <c r="B78" s="10" t="s">
        <v>95</v>
      </c>
      <c r="C78" s="10"/>
      <c r="D78" s="10" t="s">
        <v>40</v>
      </c>
      <c r="E78" s="12"/>
      <c r="F78" s="11"/>
      <c r="G78" s="11">
        <f t="shared" si="2"/>
        <v>0</v>
      </c>
      <c r="H78" s="72" t="s">
        <v>116</v>
      </c>
    </row>
    <row r="79" spans="1:8" ht="16" customHeight="1">
      <c r="A79" s="10"/>
      <c r="B79" s="10" t="s">
        <v>96</v>
      </c>
      <c r="C79" s="10"/>
      <c r="D79" s="10" t="s">
        <v>40</v>
      </c>
      <c r="E79" s="12"/>
      <c r="F79" s="11"/>
      <c r="G79" s="11">
        <f t="shared" si="2"/>
        <v>0</v>
      </c>
      <c r="H79" s="72" t="s">
        <v>116</v>
      </c>
    </row>
    <row r="80" spans="1:8" ht="16" customHeight="1">
      <c r="A80" s="10"/>
      <c r="B80" s="10" t="s">
        <v>97</v>
      </c>
      <c r="C80" s="10"/>
      <c r="D80" s="10" t="s">
        <v>40</v>
      </c>
      <c r="E80" s="12"/>
      <c r="F80" s="11"/>
      <c r="G80" s="11">
        <f t="shared" si="2"/>
        <v>0</v>
      </c>
      <c r="H80" s="72" t="s">
        <v>116</v>
      </c>
    </row>
    <row r="81" spans="1:8" ht="16" customHeight="1">
      <c r="A81" s="10"/>
      <c r="B81" s="10" t="s">
        <v>109</v>
      </c>
      <c r="C81" s="10"/>
      <c r="D81" s="10" t="s">
        <v>40</v>
      </c>
      <c r="E81" s="12"/>
      <c r="F81" s="11"/>
      <c r="G81" s="11">
        <f t="shared" si="2"/>
        <v>0</v>
      </c>
      <c r="H81" s="72" t="s">
        <v>116</v>
      </c>
    </row>
    <row r="82" spans="1:8" ht="17.149999999999999" customHeight="1">
      <c r="A82" s="30"/>
      <c r="B82" s="31" t="s">
        <v>67</v>
      </c>
      <c r="C82" s="30"/>
      <c r="D82" s="30"/>
      <c r="E82" s="30"/>
      <c r="F82" s="32"/>
      <c r="G82" s="32">
        <f>SUM(G83:G97)</f>
        <v>0</v>
      </c>
      <c r="H82" s="30"/>
    </row>
    <row r="83" spans="1:8" ht="67.5">
      <c r="A83" s="10"/>
      <c r="B83" s="10" t="s">
        <v>102</v>
      </c>
      <c r="C83" s="10"/>
      <c r="D83" s="57" t="s">
        <v>146</v>
      </c>
      <c r="E83" s="12"/>
      <c r="F83" s="11"/>
      <c r="G83" s="11">
        <f>E83*F83</f>
        <v>0</v>
      </c>
      <c r="H83" s="96" t="s">
        <v>161</v>
      </c>
    </row>
    <row r="84" spans="1:8" ht="67.5">
      <c r="A84" s="10"/>
      <c r="B84" s="10" t="s">
        <v>103</v>
      </c>
      <c r="C84" s="10"/>
      <c r="D84" s="57" t="s">
        <v>146</v>
      </c>
      <c r="E84" s="12"/>
      <c r="F84" s="11"/>
      <c r="G84" s="11">
        <f t="shared" ref="G84:G97" si="3">E84*F84</f>
        <v>0</v>
      </c>
      <c r="H84" s="96" t="s">
        <v>161</v>
      </c>
    </row>
    <row r="85" spans="1:8" ht="67.5">
      <c r="A85" s="10"/>
      <c r="B85" s="10" t="s">
        <v>104</v>
      </c>
      <c r="C85" s="10"/>
      <c r="D85" s="57" t="s">
        <v>146</v>
      </c>
      <c r="E85" s="12"/>
      <c r="F85" s="11"/>
      <c r="G85" s="11">
        <f t="shared" si="3"/>
        <v>0</v>
      </c>
      <c r="H85" s="96" t="s">
        <v>161</v>
      </c>
    </row>
    <row r="86" spans="1:8" ht="67.5">
      <c r="A86" s="10"/>
      <c r="B86" s="10" t="s">
        <v>105</v>
      </c>
      <c r="C86" s="10"/>
      <c r="D86" s="57" t="s">
        <v>146</v>
      </c>
      <c r="E86" s="12"/>
      <c r="F86" s="11"/>
      <c r="G86" s="11">
        <f t="shared" si="3"/>
        <v>0</v>
      </c>
      <c r="H86" s="96" t="s">
        <v>161</v>
      </c>
    </row>
    <row r="87" spans="1:8" ht="67.5">
      <c r="A87" s="10"/>
      <c r="B87" s="10" t="s">
        <v>110</v>
      </c>
      <c r="C87" s="10"/>
      <c r="D87" s="57" t="s">
        <v>146</v>
      </c>
      <c r="E87" s="12"/>
      <c r="F87" s="11"/>
      <c r="G87" s="11">
        <f t="shared" si="3"/>
        <v>0</v>
      </c>
      <c r="H87" s="96" t="s">
        <v>161</v>
      </c>
    </row>
    <row r="88" spans="1:8" ht="67.5">
      <c r="A88" s="10"/>
      <c r="B88" s="10" t="s">
        <v>111</v>
      </c>
      <c r="C88" s="10"/>
      <c r="D88" s="57" t="s">
        <v>146</v>
      </c>
      <c r="E88" s="12"/>
      <c r="F88" s="11"/>
      <c r="G88" s="11">
        <f t="shared" si="3"/>
        <v>0</v>
      </c>
      <c r="H88" s="96" t="s">
        <v>161</v>
      </c>
    </row>
    <row r="89" spans="1:8" ht="67.5">
      <c r="A89" s="10"/>
      <c r="B89" s="10" t="s">
        <v>112</v>
      </c>
      <c r="C89" s="10"/>
      <c r="D89" s="57" t="s">
        <v>146</v>
      </c>
      <c r="E89" s="12"/>
      <c r="F89" s="11"/>
      <c r="G89" s="11">
        <f t="shared" si="3"/>
        <v>0</v>
      </c>
      <c r="H89" s="96" t="s">
        <v>161</v>
      </c>
    </row>
    <row r="90" spans="1:8" ht="67.5">
      <c r="A90" s="10"/>
      <c r="B90" s="10" t="s">
        <v>113</v>
      </c>
      <c r="C90" s="10"/>
      <c r="D90" s="57" t="s">
        <v>146</v>
      </c>
      <c r="E90" s="12"/>
      <c r="F90" s="11"/>
      <c r="G90" s="11">
        <f t="shared" si="3"/>
        <v>0</v>
      </c>
      <c r="H90" s="96" t="s">
        <v>161</v>
      </c>
    </row>
    <row r="91" spans="1:8" ht="67.5">
      <c r="A91" s="57"/>
      <c r="B91" s="57" t="s">
        <v>114</v>
      </c>
      <c r="C91" s="57"/>
      <c r="D91" s="57" t="s">
        <v>146</v>
      </c>
      <c r="E91" s="82"/>
      <c r="F91" s="83"/>
      <c r="G91" s="11">
        <f t="shared" si="3"/>
        <v>0</v>
      </c>
      <c r="H91" s="96" t="s">
        <v>161</v>
      </c>
    </row>
    <row r="92" spans="1:8" ht="67.5">
      <c r="A92" s="58"/>
      <c r="B92" s="58" t="s">
        <v>115</v>
      </c>
      <c r="C92" s="58"/>
      <c r="D92" s="57" t="s">
        <v>146</v>
      </c>
      <c r="E92" s="84"/>
      <c r="F92" s="85"/>
      <c r="G92" s="11">
        <f t="shared" si="3"/>
        <v>0</v>
      </c>
      <c r="H92" s="96" t="s">
        <v>161</v>
      </c>
    </row>
    <row r="93" spans="1:8" ht="67.5">
      <c r="A93" s="58"/>
      <c r="B93" s="58" t="s">
        <v>133</v>
      </c>
      <c r="C93" s="58"/>
      <c r="D93" s="57" t="s">
        <v>146</v>
      </c>
      <c r="E93" s="84"/>
      <c r="F93" s="85"/>
      <c r="G93" s="11">
        <f t="shared" si="3"/>
        <v>0</v>
      </c>
      <c r="H93" s="96" t="s">
        <v>161</v>
      </c>
    </row>
    <row r="94" spans="1:8" ht="67.5">
      <c r="A94" s="58"/>
      <c r="B94" s="58" t="s">
        <v>134</v>
      </c>
      <c r="C94" s="58"/>
      <c r="D94" s="57" t="s">
        <v>146</v>
      </c>
      <c r="E94" s="84"/>
      <c r="F94" s="85"/>
      <c r="G94" s="11">
        <f t="shared" si="3"/>
        <v>0</v>
      </c>
      <c r="H94" s="96" t="s">
        <v>161</v>
      </c>
    </row>
    <row r="95" spans="1:8" ht="67.5">
      <c r="A95" s="58"/>
      <c r="B95" s="58" t="s">
        <v>135</v>
      </c>
      <c r="C95" s="58"/>
      <c r="D95" s="57" t="s">
        <v>146</v>
      </c>
      <c r="E95" s="84"/>
      <c r="F95" s="85"/>
      <c r="G95" s="11">
        <f t="shared" si="3"/>
        <v>0</v>
      </c>
      <c r="H95" s="96" t="s">
        <v>161</v>
      </c>
    </row>
    <row r="96" spans="1:8" ht="67.5">
      <c r="A96" s="58"/>
      <c r="B96" s="58" t="s">
        <v>136</v>
      </c>
      <c r="C96" s="58"/>
      <c r="D96" s="57" t="s">
        <v>146</v>
      </c>
      <c r="E96" s="84"/>
      <c r="F96" s="85"/>
      <c r="G96" s="11">
        <f t="shared" si="3"/>
        <v>0</v>
      </c>
      <c r="H96" s="96" t="s">
        <v>161</v>
      </c>
    </row>
    <row r="97" spans="1:9" ht="67.5">
      <c r="A97" s="89"/>
      <c r="B97" s="89" t="s">
        <v>137</v>
      </c>
      <c r="C97" s="89"/>
      <c r="D97" s="57" t="s">
        <v>146</v>
      </c>
      <c r="E97" s="90"/>
      <c r="F97" s="91"/>
      <c r="G97" s="83">
        <f t="shared" si="3"/>
        <v>0</v>
      </c>
      <c r="H97" s="96" t="s">
        <v>161</v>
      </c>
    </row>
    <row r="98" spans="1:9" s="46" customFormat="1" ht="18" customHeight="1">
      <c r="A98" s="108" t="s">
        <v>138</v>
      </c>
      <c r="B98" s="109"/>
      <c r="C98" s="61"/>
      <c r="D98" s="69"/>
      <c r="E98" s="30"/>
      <c r="F98" s="32"/>
      <c r="G98" s="32">
        <f>G50+G61+G82</f>
        <v>0</v>
      </c>
      <c r="H98" s="30"/>
      <c r="I98" s="1"/>
    </row>
    <row r="99" spans="1:9" s="46" customFormat="1" ht="18" customHeight="1" thickBot="1">
      <c r="A99" s="102" t="s">
        <v>71</v>
      </c>
      <c r="B99" s="102"/>
      <c r="C99" s="102"/>
      <c r="D99" s="1"/>
      <c r="E99" s="48"/>
      <c r="F99" s="48"/>
      <c r="G99" s="1"/>
      <c r="H99" s="1"/>
      <c r="I99" s="1"/>
    </row>
    <row r="100" spans="1:9" ht="33.5" customHeight="1">
      <c r="A100" s="39" t="s">
        <v>49</v>
      </c>
      <c r="B100" s="39" t="s">
        <v>72</v>
      </c>
      <c r="C100" s="39" t="s">
        <v>32</v>
      </c>
      <c r="D100" s="39" t="s">
        <v>33</v>
      </c>
      <c r="E100" s="51" t="s">
        <v>34</v>
      </c>
      <c r="F100" s="51" t="s">
        <v>35</v>
      </c>
      <c r="G100" s="39" t="s">
        <v>36</v>
      </c>
    </row>
    <row r="101" spans="1:9" ht="40.5">
      <c r="A101" s="10"/>
      <c r="B101" s="10"/>
      <c r="C101" s="10" t="s">
        <v>40</v>
      </c>
      <c r="D101" s="10"/>
      <c r="E101" s="16"/>
      <c r="F101" s="11">
        <f>D101*E101</f>
        <v>0</v>
      </c>
      <c r="G101" s="97" t="s">
        <v>159</v>
      </c>
    </row>
    <row r="102" spans="1:9" ht="40.5">
      <c r="A102" s="10"/>
      <c r="B102" s="10"/>
      <c r="C102" s="10" t="s">
        <v>40</v>
      </c>
      <c r="D102" s="10"/>
      <c r="E102" s="16"/>
      <c r="F102" s="11">
        <f t="shared" ref="F102:F106" si="4">D102*E102</f>
        <v>0</v>
      </c>
      <c r="G102" s="97" t="s">
        <v>159</v>
      </c>
    </row>
    <row r="103" spans="1:9" ht="40.5">
      <c r="A103" s="10"/>
      <c r="B103" s="10"/>
      <c r="C103" s="10" t="s">
        <v>40</v>
      </c>
      <c r="D103" s="10"/>
      <c r="E103" s="16"/>
      <c r="F103" s="11">
        <f t="shared" si="4"/>
        <v>0</v>
      </c>
      <c r="G103" s="97" t="s">
        <v>159</v>
      </c>
    </row>
    <row r="104" spans="1:9" ht="40.5">
      <c r="A104" s="10"/>
      <c r="B104" s="10"/>
      <c r="C104" s="10" t="s">
        <v>40</v>
      </c>
      <c r="D104" s="10"/>
      <c r="E104" s="52"/>
      <c r="F104" s="11">
        <f t="shared" si="4"/>
        <v>0</v>
      </c>
      <c r="G104" s="97" t="s">
        <v>159</v>
      </c>
    </row>
    <row r="105" spans="1:9" ht="40.5">
      <c r="A105" s="10"/>
      <c r="B105" s="10"/>
      <c r="C105" s="10" t="s">
        <v>40</v>
      </c>
      <c r="D105" s="10"/>
      <c r="E105" s="52"/>
      <c r="F105" s="11">
        <f t="shared" si="4"/>
        <v>0</v>
      </c>
      <c r="G105" s="97" t="s">
        <v>159</v>
      </c>
    </row>
    <row r="106" spans="1:9" ht="40.5">
      <c r="A106" s="10"/>
      <c r="B106" s="10"/>
      <c r="C106" s="10" t="s">
        <v>40</v>
      </c>
      <c r="D106" s="10"/>
      <c r="E106" s="52"/>
      <c r="F106" s="11">
        <f t="shared" si="4"/>
        <v>0</v>
      </c>
      <c r="G106" s="97" t="s">
        <v>159</v>
      </c>
    </row>
    <row r="107" spans="1:9" ht="18" customHeight="1" thickBot="1">
      <c r="A107" s="40"/>
      <c r="B107" s="41" t="s">
        <v>50</v>
      </c>
      <c r="C107" s="40"/>
      <c r="D107" s="40"/>
      <c r="E107" s="53"/>
      <c r="F107" s="53">
        <f>SUM(F101:F106)</f>
        <v>0</v>
      </c>
      <c r="G107" s="40"/>
    </row>
    <row r="108" spans="1:9" ht="18" customHeight="1">
      <c r="E108" s="49"/>
      <c r="F108" s="49"/>
    </row>
    <row r="109" spans="1:9" ht="18" customHeight="1" thickBot="1">
      <c r="A109" s="102" t="s">
        <v>73</v>
      </c>
      <c r="B109" s="102"/>
      <c r="C109" s="102"/>
      <c r="E109" s="48"/>
      <c r="F109" s="48"/>
    </row>
    <row r="110" spans="1:9" ht="18" customHeight="1">
      <c r="A110" s="42" t="s">
        <v>51</v>
      </c>
      <c r="B110" s="42" t="s">
        <v>52</v>
      </c>
      <c r="C110" s="42"/>
      <c r="D110" s="42"/>
      <c r="E110" s="54"/>
      <c r="F110" s="54" t="s">
        <v>35</v>
      </c>
      <c r="G110" s="42" t="s">
        <v>36</v>
      </c>
    </row>
    <row r="111" spans="1:9" ht="18" customHeight="1">
      <c r="A111" s="10">
        <v>1</v>
      </c>
      <c r="B111" s="43" t="s">
        <v>74</v>
      </c>
      <c r="C111" s="10"/>
      <c r="D111" s="10"/>
      <c r="E111" s="16"/>
      <c r="F111" s="16">
        <f>F107</f>
        <v>0</v>
      </c>
      <c r="G111" s="10"/>
    </row>
    <row r="112" spans="1:9" ht="18" customHeight="1">
      <c r="A112" s="10">
        <v>2</v>
      </c>
      <c r="B112" s="43" t="s">
        <v>75</v>
      </c>
      <c r="C112" s="10"/>
      <c r="D112" s="10"/>
      <c r="E112" s="16"/>
      <c r="F112" s="16">
        <f>F47+G98</f>
        <v>0</v>
      </c>
      <c r="G112" s="10"/>
    </row>
    <row r="113" spans="1:7" ht="18" customHeight="1" thickBot="1">
      <c r="A113" s="44"/>
      <c r="B113" s="45" t="s">
        <v>76</v>
      </c>
      <c r="C113" s="44"/>
      <c r="D113" s="44"/>
      <c r="E113" s="55"/>
      <c r="F113" s="55">
        <f>F111-F112</f>
        <v>0</v>
      </c>
      <c r="G113" s="44"/>
    </row>
    <row r="114" spans="1:7" ht="18" customHeight="1">
      <c r="F114" s="56"/>
    </row>
    <row r="115" spans="1:7" ht="18" customHeight="1">
      <c r="D115" s="103"/>
      <c r="E115" s="103"/>
      <c r="F115" s="103"/>
      <c r="G115" s="103"/>
    </row>
    <row r="116" spans="1:7" ht="18" customHeight="1">
      <c r="A116" s="100"/>
      <c r="B116" s="100"/>
      <c r="C116" s="100"/>
      <c r="D116" s="100"/>
      <c r="E116" s="100"/>
      <c r="F116" s="100"/>
      <c r="G116" s="100"/>
    </row>
    <row r="117" spans="1:7" ht="18" customHeight="1"/>
    <row r="118" spans="1:7" ht="18" customHeight="1"/>
    <row r="119" spans="1:7" ht="18" customHeight="1"/>
    <row r="120" spans="1:7" ht="18" customHeight="1"/>
    <row r="121" spans="1:7" ht="18" customHeight="1"/>
    <row r="122" spans="1:7" ht="18" customHeight="1"/>
    <row r="123" spans="1:7" ht="18" customHeight="1"/>
    <row r="124" spans="1:7" ht="18" customHeight="1"/>
    <row r="125" spans="1:7" ht="18" customHeight="1"/>
  </sheetData>
  <mergeCells count="13">
    <mergeCell ref="A116:C116"/>
    <mergeCell ref="D116:G116"/>
    <mergeCell ref="D115:G115"/>
    <mergeCell ref="A3:G3"/>
    <mergeCell ref="A15:C15"/>
    <mergeCell ref="A48:C48"/>
    <mergeCell ref="A99:C99"/>
    <mergeCell ref="A109:C109"/>
    <mergeCell ref="A5:G5"/>
    <mergeCell ref="A98:B98"/>
    <mergeCell ref="A8:B8"/>
    <mergeCell ref="A6:B7"/>
    <mergeCell ref="C6:G6"/>
  </mergeCells>
  <pageMargins left="0.2" right="0.25" top="0.16"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F000A-B3DE-42A7-8A32-CC6A0FB87DEB}">
  <dimension ref="A3:I74"/>
  <sheetViews>
    <sheetView topLeftCell="A54" zoomScale="60" zoomScaleNormal="60" workbookViewId="0">
      <selection activeCell="J12" sqref="J1:XFD1048576"/>
    </sheetView>
  </sheetViews>
  <sheetFormatPr defaultColWidth="9" defaultRowHeight="13.5"/>
  <cols>
    <col min="1" max="1" width="8.08203125" style="1" customWidth="1"/>
    <col min="2" max="2" width="28.6640625" style="1" customWidth="1"/>
    <col min="3" max="3" width="9.08203125" style="1" customWidth="1"/>
    <col min="4" max="4" width="9" style="1"/>
    <col min="5" max="5" width="14.33203125" style="1" bestFit="1" customWidth="1"/>
    <col min="6" max="6" width="11.9140625" style="1" customWidth="1"/>
    <col min="7" max="7" width="12.1640625" style="1" customWidth="1"/>
    <col min="8" max="8" width="76.33203125" style="1" bestFit="1" customWidth="1"/>
    <col min="9" max="9" width="9" style="1"/>
    <col min="10" max="16384" width="9" style="117"/>
  </cols>
  <sheetData>
    <row r="3" spans="1:7" ht="19.5">
      <c r="A3" s="101" t="s">
        <v>56</v>
      </c>
      <c r="B3" s="101"/>
      <c r="C3" s="101"/>
      <c r="D3" s="101"/>
      <c r="E3" s="101"/>
      <c r="F3" s="101"/>
      <c r="G3" s="101"/>
    </row>
    <row r="5" spans="1:7" ht="14" thickBot="1">
      <c r="A5" s="102" t="s">
        <v>77</v>
      </c>
      <c r="B5" s="102"/>
      <c r="C5" s="102"/>
      <c r="D5" s="4"/>
      <c r="E5" s="4"/>
      <c r="F5" s="4"/>
      <c r="G5" s="4"/>
    </row>
    <row r="6" spans="1:7" ht="37" customHeight="1">
      <c r="A6" s="5" t="s">
        <v>49</v>
      </c>
      <c r="B6" s="5" t="s">
        <v>58</v>
      </c>
      <c r="C6" s="5" t="s">
        <v>32</v>
      </c>
      <c r="D6" s="5" t="s">
        <v>33</v>
      </c>
      <c r="E6" s="5" t="s">
        <v>59</v>
      </c>
      <c r="F6" s="5" t="s">
        <v>35</v>
      </c>
      <c r="G6" s="5" t="s">
        <v>36</v>
      </c>
    </row>
    <row r="7" spans="1:7" ht="18" customHeight="1">
      <c r="A7" s="8"/>
      <c r="B7" s="7" t="s">
        <v>65</v>
      </c>
      <c r="C7" s="8"/>
      <c r="D7" s="8"/>
      <c r="E7" s="13"/>
      <c r="F7" s="13">
        <f>SUM(F8:F11)</f>
        <v>0</v>
      </c>
      <c r="G7" s="8"/>
    </row>
    <row r="8" spans="1:7" ht="16" customHeight="1">
      <c r="A8" s="10"/>
      <c r="B8" s="10" t="s">
        <v>61</v>
      </c>
      <c r="C8" s="10" t="s">
        <v>139</v>
      </c>
      <c r="D8" s="12"/>
      <c r="E8" s="11"/>
      <c r="F8" s="11">
        <f>E8*D8</f>
        <v>0</v>
      </c>
      <c r="G8" s="12"/>
    </row>
    <row r="9" spans="1:7" ht="16" customHeight="1">
      <c r="A9" s="10"/>
      <c r="B9" s="10" t="s">
        <v>62</v>
      </c>
      <c r="C9" s="10" t="s">
        <v>139</v>
      </c>
      <c r="D9" s="15"/>
      <c r="E9" s="11"/>
      <c r="F9" s="11">
        <f t="shared" ref="F9:F24" si="0">E9*D9</f>
        <v>0</v>
      </c>
      <c r="G9" s="15"/>
    </row>
    <row r="10" spans="1:7" ht="16" customHeight="1">
      <c r="A10" s="10"/>
      <c r="B10" s="10" t="s">
        <v>63</v>
      </c>
      <c r="C10" s="10" t="s">
        <v>139</v>
      </c>
      <c r="D10" s="15"/>
      <c r="E10" s="14"/>
      <c r="F10" s="11">
        <f t="shared" si="0"/>
        <v>0</v>
      </c>
      <c r="G10" s="15"/>
    </row>
    <row r="11" spans="1:7" ht="16" customHeight="1">
      <c r="A11" s="10"/>
      <c r="B11" s="10" t="s">
        <v>64</v>
      </c>
      <c r="C11" s="10" t="s">
        <v>139</v>
      </c>
      <c r="D11" s="15"/>
      <c r="E11" s="14"/>
      <c r="F11" s="11">
        <f t="shared" si="0"/>
        <v>0</v>
      </c>
      <c r="G11" s="15"/>
    </row>
    <row r="12" spans="1:7" ht="18" customHeight="1">
      <c r="A12" s="8"/>
      <c r="B12" s="7" t="s">
        <v>66</v>
      </c>
      <c r="C12" s="8"/>
      <c r="D12" s="8"/>
      <c r="E12" s="13"/>
      <c r="F12" s="13"/>
      <c r="G12" s="8"/>
    </row>
    <row r="13" spans="1:7" ht="16" customHeight="1">
      <c r="A13" s="10"/>
      <c r="B13" s="10" t="s">
        <v>61</v>
      </c>
      <c r="C13" s="10" t="s">
        <v>139</v>
      </c>
      <c r="D13" s="15"/>
      <c r="E13" s="14"/>
      <c r="F13" s="11"/>
      <c r="G13" s="15"/>
    </row>
    <row r="14" spans="1:7" ht="16" customHeight="1">
      <c r="A14" s="10"/>
      <c r="B14" s="10" t="s">
        <v>62</v>
      </c>
      <c r="C14" s="10" t="s">
        <v>139</v>
      </c>
      <c r="D14" s="15"/>
      <c r="E14" s="14"/>
      <c r="F14" s="11"/>
      <c r="G14" s="15"/>
    </row>
    <row r="15" spans="1:7" ht="16" customHeight="1">
      <c r="A15" s="10"/>
      <c r="B15" s="10"/>
      <c r="C15" s="10"/>
      <c r="D15" s="15"/>
      <c r="E15" s="14"/>
      <c r="F15" s="11"/>
      <c r="G15" s="15"/>
    </row>
    <row r="16" spans="1:7" ht="18" customHeight="1">
      <c r="A16" s="8"/>
      <c r="B16" s="7" t="s">
        <v>67</v>
      </c>
      <c r="C16" s="8"/>
      <c r="D16" s="8"/>
      <c r="E16" s="13"/>
      <c r="F16" s="13">
        <f>SUM(F17:F19)</f>
        <v>0</v>
      </c>
      <c r="G16" s="8"/>
    </row>
    <row r="17" spans="1:8" ht="16" customHeight="1">
      <c r="A17" s="10"/>
      <c r="B17" s="10" t="s">
        <v>61</v>
      </c>
      <c r="C17" s="10" t="s">
        <v>139</v>
      </c>
      <c r="D17" s="15"/>
      <c r="E17" s="14"/>
      <c r="F17" s="11">
        <f>E17*D17</f>
        <v>0</v>
      </c>
      <c r="G17" s="15"/>
    </row>
    <row r="18" spans="1:8" ht="16" customHeight="1">
      <c r="A18" s="10"/>
      <c r="B18" s="10" t="s">
        <v>62</v>
      </c>
      <c r="C18" s="10" t="s">
        <v>139</v>
      </c>
      <c r="D18" s="12"/>
      <c r="E18" s="14"/>
      <c r="F18" s="11">
        <f t="shared" si="0"/>
        <v>0</v>
      </c>
      <c r="G18" s="12"/>
    </row>
    <row r="19" spans="1:8" ht="16" customHeight="1">
      <c r="A19" s="10"/>
      <c r="B19" s="10" t="s">
        <v>63</v>
      </c>
      <c r="C19" s="10" t="s">
        <v>139</v>
      </c>
      <c r="D19" s="12"/>
      <c r="E19" s="11"/>
      <c r="F19" s="11">
        <f t="shared" si="0"/>
        <v>0</v>
      </c>
      <c r="G19" s="12"/>
    </row>
    <row r="20" spans="1:8" ht="18" customHeight="1">
      <c r="A20" s="8"/>
      <c r="B20" s="7" t="s">
        <v>68</v>
      </c>
      <c r="C20" s="8"/>
      <c r="D20" s="8"/>
      <c r="E20" s="13"/>
      <c r="F20" s="13">
        <f>SUM(F21:F24)</f>
        <v>0</v>
      </c>
      <c r="G20" s="8"/>
    </row>
    <row r="21" spans="1:8" ht="16" customHeight="1">
      <c r="A21" s="10"/>
      <c r="B21" s="10" t="s">
        <v>61</v>
      </c>
      <c r="C21" s="10" t="s">
        <v>139</v>
      </c>
      <c r="D21" s="12"/>
      <c r="E21" s="11"/>
      <c r="F21" s="11">
        <f t="shared" si="0"/>
        <v>0</v>
      </c>
      <c r="G21" s="12"/>
    </row>
    <row r="22" spans="1:8" ht="16" customHeight="1">
      <c r="A22" s="10"/>
      <c r="B22" s="10" t="s">
        <v>62</v>
      </c>
      <c r="C22" s="10" t="s">
        <v>139</v>
      </c>
      <c r="D22" s="12"/>
      <c r="E22" s="11"/>
      <c r="F22" s="11">
        <f t="shared" si="0"/>
        <v>0</v>
      </c>
      <c r="G22" s="12"/>
    </row>
    <row r="23" spans="1:8" ht="16" customHeight="1">
      <c r="A23" s="10"/>
      <c r="B23" s="10" t="s">
        <v>63</v>
      </c>
      <c r="C23" s="10" t="s">
        <v>139</v>
      </c>
      <c r="D23" s="12"/>
      <c r="E23" s="11"/>
      <c r="F23" s="11">
        <f t="shared" si="0"/>
        <v>0</v>
      </c>
      <c r="G23" s="12"/>
    </row>
    <row r="24" spans="1:8" ht="16" customHeight="1">
      <c r="A24" s="10"/>
      <c r="B24" s="10" t="s">
        <v>64</v>
      </c>
      <c r="C24" s="10" t="s">
        <v>139</v>
      </c>
      <c r="D24" s="12"/>
      <c r="E24" s="11"/>
      <c r="F24" s="11">
        <f t="shared" si="0"/>
        <v>0</v>
      </c>
      <c r="G24" s="12"/>
    </row>
    <row r="25" spans="1:8" ht="18" customHeight="1" thickBot="1">
      <c r="A25" s="17"/>
      <c r="B25" s="18" t="s">
        <v>28</v>
      </c>
      <c r="C25" s="17"/>
      <c r="D25" s="17"/>
      <c r="E25" s="19"/>
      <c r="F25" s="20">
        <f>F7+F16+F20</f>
        <v>0</v>
      </c>
      <c r="G25" s="17"/>
    </row>
    <row r="26" spans="1:8" ht="18" customHeight="1">
      <c r="E26" s="48"/>
      <c r="F26" s="48"/>
    </row>
    <row r="27" spans="1:8" ht="18" customHeight="1">
      <c r="A27" s="102" t="s">
        <v>69</v>
      </c>
      <c r="B27" s="102"/>
      <c r="C27" s="102"/>
      <c r="E27" s="48"/>
      <c r="F27" s="48"/>
    </row>
    <row r="28" spans="1:8" ht="18" customHeight="1">
      <c r="A28" s="77" t="s">
        <v>49</v>
      </c>
      <c r="B28" s="77" t="s">
        <v>70</v>
      </c>
      <c r="C28" s="77" t="s">
        <v>98</v>
      </c>
      <c r="D28" s="77" t="s">
        <v>32</v>
      </c>
      <c r="E28" s="78" t="s">
        <v>33</v>
      </c>
      <c r="F28" s="78" t="s">
        <v>34</v>
      </c>
      <c r="G28" s="77" t="s">
        <v>35</v>
      </c>
      <c r="H28" s="77" t="s">
        <v>36</v>
      </c>
    </row>
    <row r="29" spans="1:8" ht="18" customHeight="1">
      <c r="A29" s="60"/>
      <c r="B29" s="61" t="s">
        <v>66</v>
      </c>
      <c r="C29" s="61"/>
      <c r="D29" s="60"/>
      <c r="E29" s="60"/>
      <c r="F29" s="62"/>
      <c r="G29" s="62">
        <f>SUM(G30:G37)</f>
        <v>0</v>
      </c>
      <c r="H29" s="60"/>
    </row>
    <row r="30" spans="1:8" ht="40.5">
      <c r="A30" s="63"/>
      <c r="B30" s="58" t="s">
        <v>100</v>
      </c>
      <c r="C30" s="63"/>
      <c r="D30" s="58" t="s">
        <v>132</v>
      </c>
      <c r="E30" s="64"/>
      <c r="F30" s="64"/>
      <c r="G30" s="92">
        <f>E30*F30</f>
        <v>0</v>
      </c>
      <c r="H30" s="79" t="s">
        <v>131</v>
      </c>
    </row>
    <row r="31" spans="1:8" ht="40.5">
      <c r="A31" s="63"/>
      <c r="B31" s="58" t="s">
        <v>101</v>
      </c>
      <c r="C31" s="63"/>
      <c r="D31" s="58" t="s">
        <v>132</v>
      </c>
      <c r="E31" s="64"/>
      <c r="F31" s="64"/>
      <c r="G31" s="92">
        <f t="shared" ref="G31:G37" si="1">E31*F31</f>
        <v>0</v>
      </c>
      <c r="H31" s="79" t="s">
        <v>131</v>
      </c>
    </row>
    <row r="32" spans="1:8" ht="40.5">
      <c r="A32" s="63"/>
      <c r="B32" s="58" t="s">
        <v>86</v>
      </c>
      <c r="C32" s="63"/>
      <c r="D32" s="58" t="s">
        <v>132</v>
      </c>
      <c r="E32" s="64"/>
      <c r="F32" s="64"/>
      <c r="G32" s="92">
        <f t="shared" si="1"/>
        <v>0</v>
      </c>
      <c r="H32" s="79" t="s">
        <v>131</v>
      </c>
    </row>
    <row r="33" spans="1:8" ht="40.5">
      <c r="A33" s="63"/>
      <c r="B33" s="58" t="s">
        <v>87</v>
      </c>
      <c r="C33" s="63"/>
      <c r="D33" s="58" t="s">
        <v>132</v>
      </c>
      <c r="E33" s="64"/>
      <c r="F33" s="64"/>
      <c r="G33" s="92">
        <f t="shared" si="1"/>
        <v>0</v>
      </c>
      <c r="H33" s="79" t="s">
        <v>131</v>
      </c>
    </row>
    <row r="34" spans="1:8" ht="40.5">
      <c r="A34" s="63"/>
      <c r="B34" s="58" t="s">
        <v>90</v>
      </c>
      <c r="C34" s="63"/>
      <c r="D34" s="58" t="s">
        <v>132</v>
      </c>
      <c r="E34" s="64"/>
      <c r="F34" s="64"/>
      <c r="G34" s="92">
        <f t="shared" si="1"/>
        <v>0</v>
      </c>
      <c r="H34" s="79" t="s">
        <v>131</v>
      </c>
    </row>
    <row r="35" spans="1:8" ht="40.5">
      <c r="A35" s="63"/>
      <c r="B35" s="58" t="s">
        <v>91</v>
      </c>
      <c r="C35" s="63"/>
      <c r="D35" s="58" t="s">
        <v>132</v>
      </c>
      <c r="E35" s="64"/>
      <c r="F35" s="64"/>
      <c r="G35" s="92">
        <f t="shared" si="1"/>
        <v>0</v>
      </c>
      <c r="H35" s="79" t="s">
        <v>131</v>
      </c>
    </row>
    <row r="36" spans="1:8" ht="40.5">
      <c r="A36" s="63"/>
      <c r="B36" s="58" t="s">
        <v>94</v>
      </c>
      <c r="C36" s="63"/>
      <c r="D36" s="58" t="s">
        <v>132</v>
      </c>
      <c r="E36" s="64"/>
      <c r="F36" s="64"/>
      <c r="G36" s="92">
        <f t="shared" si="1"/>
        <v>0</v>
      </c>
      <c r="H36" s="79" t="s">
        <v>131</v>
      </c>
    </row>
    <row r="37" spans="1:8" ht="40.5">
      <c r="A37" s="63"/>
      <c r="B37" s="58" t="s">
        <v>95</v>
      </c>
      <c r="C37" s="63"/>
      <c r="D37" s="58" t="s">
        <v>132</v>
      </c>
      <c r="E37" s="64"/>
      <c r="F37" s="64"/>
      <c r="G37" s="92">
        <f t="shared" si="1"/>
        <v>0</v>
      </c>
      <c r="H37" s="79" t="s">
        <v>131</v>
      </c>
    </row>
    <row r="38" spans="1:8" ht="18" customHeight="1">
      <c r="A38" s="86"/>
      <c r="B38" s="87" t="s">
        <v>67</v>
      </c>
      <c r="C38" s="86"/>
      <c r="D38" s="86"/>
      <c r="E38" s="88"/>
      <c r="F38" s="88"/>
      <c r="G38" s="62">
        <f>SUM(G39:G44)</f>
        <v>0</v>
      </c>
      <c r="H38" s="86"/>
    </row>
    <row r="39" spans="1:8" ht="67.5">
      <c r="A39" s="58"/>
      <c r="B39" s="58" t="s">
        <v>102</v>
      </c>
      <c r="C39" s="58"/>
      <c r="D39" s="57" t="s">
        <v>146</v>
      </c>
      <c r="E39" s="85"/>
      <c r="F39" s="85"/>
      <c r="G39" s="92">
        <f>E39*F39</f>
        <v>0</v>
      </c>
      <c r="H39" s="79" t="s">
        <v>162</v>
      </c>
    </row>
    <row r="40" spans="1:8" ht="67.5">
      <c r="A40" s="58"/>
      <c r="B40" s="58" t="s">
        <v>103</v>
      </c>
      <c r="C40" s="58"/>
      <c r="D40" s="57" t="s">
        <v>146</v>
      </c>
      <c r="E40" s="85"/>
      <c r="F40" s="85"/>
      <c r="G40" s="92">
        <f t="shared" ref="G40:G44" si="2">E40*F40</f>
        <v>0</v>
      </c>
      <c r="H40" s="79" t="s">
        <v>162</v>
      </c>
    </row>
    <row r="41" spans="1:8" ht="67.5">
      <c r="A41" s="58"/>
      <c r="B41" s="58" t="s">
        <v>111</v>
      </c>
      <c r="C41" s="58"/>
      <c r="D41" s="57" t="s">
        <v>146</v>
      </c>
      <c r="E41" s="85"/>
      <c r="F41" s="85"/>
      <c r="G41" s="92">
        <f t="shared" si="2"/>
        <v>0</v>
      </c>
      <c r="H41" s="79" t="s">
        <v>162</v>
      </c>
    </row>
    <row r="42" spans="1:8" ht="67.5">
      <c r="A42" s="58"/>
      <c r="B42" s="58" t="s">
        <v>112</v>
      </c>
      <c r="C42" s="58"/>
      <c r="D42" s="57" t="s">
        <v>146</v>
      </c>
      <c r="E42" s="85"/>
      <c r="F42" s="85"/>
      <c r="G42" s="92">
        <f t="shared" si="2"/>
        <v>0</v>
      </c>
      <c r="H42" s="79" t="s">
        <v>162</v>
      </c>
    </row>
    <row r="43" spans="1:8" ht="67.5">
      <c r="A43" s="58"/>
      <c r="B43" s="58" t="s">
        <v>133</v>
      </c>
      <c r="C43" s="58"/>
      <c r="D43" s="57" t="s">
        <v>146</v>
      </c>
      <c r="E43" s="85"/>
      <c r="F43" s="85"/>
      <c r="G43" s="92">
        <f t="shared" si="2"/>
        <v>0</v>
      </c>
      <c r="H43" s="79" t="s">
        <v>162</v>
      </c>
    </row>
    <row r="44" spans="1:8" ht="67.5">
      <c r="A44" s="58"/>
      <c r="B44" s="58" t="s">
        <v>134</v>
      </c>
      <c r="C44" s="58"/>
      <c r="D44" s="57" t="s">
        <v>146</v>
      </c>
      <c r="E44" s="85"/>
      <c r="F44" s="85"/>
      <c r="G44" s="92">
        <f t="shared" si="2"/>
        <v>0</v>
      </c>
      <c r="H44" s="79" t="s">
        <v>162</v>
      </c>
    </row>
    <row r="45" spans="1:8" ht="18" customHeight="1">
      <c r="A45" s="104" t="s">
        <v>138</v>
      </c>
      <c r="B45" s="104"/>
      <c r="C45" s="93"/>
      <c r="D45" s="93"/>
      <c r="E45" s="94"/>
      <c r="F45" s="94"/>
      <c r="G45" s="95">
        <f>G29+G38</f>
        <v>0</v>
      </c>
      <c r="H45" s="93"/>
    </row>
    <row r="46" spans="1:8" ht="18" customHeight="1">
      <c r="D46" s="80"/>
      <c r="E46" s="81"/>
      <c r="F46" s="81"/>
      <c r="G46" s="80"/>
      <c r="H46" s="80"/>
    </row>
    <row r="47" spans="1:8" ht="18" customHeight="1">
      <c r="E47" s="48"/>
      <c r="F47" s="48"/>
    </row>
    <row r="48" spans="1:8" ht="18" customHeight="1" thickBot="1">
      <c r="A48" s="102" t="s">
        <v>78</v>
      </c>
      <c r="B48" s="102"/>
      <c r="C48" s="102"/>
      <c r="E48" s="48"/>
      <c r="F48" s="48"/>
    </row>
    <row r="49" spans="1:7" ht="33.5" customHeight="1">
      <c r="A49" s="39" t="s">
        <v>49</v>
      </c>
      <c r="B49" s="39" t="s">
        <v>72</v>
      </c>
      <c r="C49" s="39" t="s">
        <v>32</v>
      </c>
      <c r="D49" s="39" t="s">
        <v>33</v>
      </c>
      <c r="E49" s="51" t="s">
        <v>34</v>
      </c>
      <c r="F49" s="51" t="s">
        <v>35</v>
      </c>
      <c r="G49" s="39" t="s">
        <v>36</v>
      </c>
    </row>
    <row r="50" spans="1:7" ht="18" customHeight="1">
      <c r="A50" s="10"/>
      <c r="B50" s="10"/>
      <c r="C50" s="10" t="s">
        <v>40</v>
      </c>
      <c r="D50" s="10"/>
      <c r="E50" s="16"/>
      <c r="F50" s="11">
        <f t="shared" ref="F50:F55" si="3">D50*E50</f>
        <v>0</v>
      </c>
      <c r="G50" s="10"/>
    </row>
    <row r="51" spans="1:7" ht="18" customHeight="1">
      <c r="A51" s="10"/>
      <c r="B51" s="10"/>
      <c r="C51" s="10" t="s">
        <v>40</v>
      </c>
      <c r="D51" s="10"/>
      <c r="E51" s="16"/>
      <c r="F51" s="11">
        <f t="shared" si="3"/>
        <v>0</v>
      </c>
      <c r="G51" s="10"/>
    </row>
    <row r="52" spans="1:7" ht="18" customHeight="1">
      <c r="A52" s="10"/>
      <c r="B52" s="10"/>
      <c r="C52" s="10" t="s">
        <v>40</v>
      </c>
      <c r="D52" s="10"/>
      <c r="E52" s="16"/>
      <c r="F52" s="11">
        <f t="shared" si="3"/>
        <v>0</v>
      </c>
      <c r="G52" s="10"/>
    </row>
    <row r="53" spans="1:7" ht="18" customHeight="1">
      <c r="A53" s="10"/>
      <c r="B53" s="10"/>
      <c r="C53" s="10" t="s">
        <v>40</v>
      </c>
      <c r="D53" s="10"/>
      <c r="E53" s="52"/>
      <c r="F53" s="11">
        <f t="shared" si="3"/>
        <v>0</v>
      </c>
      <c r="G53" s="10"/>
    </row>
    <row r="54" spans="1:7" ht="18" customHeight="1">
      <c r="A54" s="10"/>
      <c r="B54" s="10"/>
      <c r="C54" s="10" t="s">
        <v>40</v>
      </c>
      <c r="D54" s="10"/>
      <c r="E54" s="52"/>
      <c r="F54" s="11">
        <f t="shared" si="3"/>
        <v>0</v>
      </c>
      <c r="G54" s="10"/>
    </row>
    <row r="55" spans="1:7" ht="18" customHeight="1">
      <c r="A55" s="10"/>
      <c r="B55" s="10"/>
      <c r="C55" s="10" t="s">
        <v>40</v>
      </c>
      <c r="D55" s="10"/>
      <c r="E55" s="52"/>
      <c r="F55" s="11">
        <f t="shared" si="3"/>
        <v>0</v>
      </c>
      <c r="G55" s="10"/>
    </row>
    <row r="56" spans="1:7" ht="18" customHeight="1" thickBot="1">
      <c r="A56" s="40"/>
      <c r="B56" s="41" t="s">
        <v>50</v>
      </c>
      <c r="C56" s="40"/>
      <c r="D56" s="40"/>
      <c r="E56" s="53"/>
      <c r="F56" s="53">
        <f>SUM(F50:F55)</f>
        <v>0</v>
      </c>
      <c r="G56" s="40"/>
    </row>
    <row r="57" spans="1:7" ht="18" customHeight="1">
      <c r="E57" s="49"/>
      <c r="F57" s="49"/>
    </row>
    <row r="58" spans="1:7" ht="18" customHeight="1" thickBot="1">
      <c r="A58" s="102" t="s">
        <v>73</v>
      </c>
      <c r="B58" s="102"/>
      <c r="C58" s="102"/>
      <c r="E58" s="48"/>
      <c r="F58" s="48"/>
    </row>
    <row r="59" spans="1:7" ht="18" customHeight="1">
      <c r="A59" s="42" t="s">
        <v>51</v>
      </c>
      <c r="B59" s="42" t="s">
        <v>52</v>
      </c>
      <c r="C59" s="42"/>
      <c r="D59" s="42"/>
      <c r="E59" s="54"/>
      <c r="F59" s="54" t="s">
        <v>35</v>
      </c>
      <c r="G59" s="42" t="s">
        <v>36</v>
      </c>
    </row>
    <row r="60" spans="1:7" ht="18" customHeight="1">
      <c r="A60" s="10">
        <v>1</v>
      </c>
      <c r="B60" s="43" t="s">
        <v>74</v>
      </c>
      <c r="C60" s="10"/>
      <c r="D60" s="10"/>
      <c r="E60" s="16"/>
      <c r="F60" s="16">
        <f>F56</f>
        <v>0</v>
      </c>
      <c r="G60" s="10"/>
    </row>
    <row r="61" spans="1:7" ht="18" customHeight="1">
      <c r="A61" s="10">
        <v>2</v>
      </c>
      <c r="B61" s="43" t="s">
        <v>75</v>
      </c>
      <c r="C61" s="10"/>
      <c r="D61" s="10"/>
      <c r="E61" s="16"/>
      <c r="F61" s="16">
        <f>F25+G45</f>
        <v>0</v>
      </c>
      <c r="G61" s="10"/>
    </row>
    <row r="62" spans="1:7" ht="18" customHeight="1" thickBot="1">
      <c r="A62" s="44"/>
      <c r="B62" s="45" t="s">
        <v>76</v>
      </c>
      <c r="C62" s="44"/>
      <c r="D62" s="44"/>
      <c r="E62" s="55"/>
      <c r="F62" s="55">
        <f>F60-F61</f>
        <v>0</v>
      </c>
      <c r="G62" s="44"/>
    </row>
    <row r="63" spans="1:7" ht="18" customHeight="1">
      <c r="F63" s="56"/>
    </row>
    <row r="64" spans="1:7" ht="18" customHeight="1">
      <c r="D64" s="103"/>
      <c r="E64" s="103"/>
      <c r="F64" s="103"/>
      <c r="G64" s="103"/>
    </row>
    <row r="65" spans="1:7" ht="18" customHeight="1">
      <c r="A65" s="100"/>
      <c r="B65" s="100"/>
      <c r="C65" s="100"/>
      <c r="D65" s="100"/>
      <c r="E65" s="100"/>
      <c r="F65" s="100"/>
      <c r="G65" s="100"/>
    </row>
    <row r="66" spans="1:7" ht="18" customHeight="1"/>
    <row r="67" spans="1:7" ht="18" customHeight="1"/>
    <row r="68" spans="1:7" ht="18" customHeight="1"/>
    <row r="69" spans="1:7" ht="18" customHeight="1"/>
    <row r="70" spans="1:7" ht="18" customHeight="1"/>
    <row r="71" spans="1:7" ht="18" customHeight="1"/>
    <row r="72" spans="1:7" ht="18" customHeight="1"/>
    <row r="73" spans="1:7" ht="18" customHeight="1"/>
    <row r="74" spans="1:7" ht="18" customHeight="1"/>
  </sheetData>
  <mergeCells count="9">
    <mergeCell ref="A65:C65"/>
    <mergeCell ref="D65:G65"/>
    <mergeCell ref="A3:G3"/>
    <mergeCell ref="A5:C5"/>
    <mergeCell ref="A27:C27"/>
    <mergeCell ref="A48:C48"/>
    <mergeCell ref="A58:C58"/>
    <mergeCell ref="D64:G64"/>
    <mergeCell ref="A45:B45"/>
  </mergeCells>
  <pageMargins left="0.2" right="0.25" top="0.16"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Initial year</vt:lpstr>
      <vt:lpstr>Coffee</vt:lpstr>
      <vt:lpstr>Intercrop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NGV - Nguyen Thi Thu Thuy</dc:creator>
  <cp:lastModifiedBy>NGV - Trang Lieu</cp:lastModifiedBy>
  <dcterms:created xsi:type="dcterms:W3CDTF">2026-02-25T04:20:43Z</dcterms:created>
  <dcterms:modified xsi:type="dcterms:W3CDTF">2026-04-01T04:26:20Z</dcterms:modified>
</cp:coreProperties>
</file>