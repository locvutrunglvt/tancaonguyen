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g.lieu\Desktop\Tchibo files\M&amp;E\"/>
    </mc:Choice>
  </mc:AlternateContent>
  <xr:revisionPtr revIDLastSave="0" documentId="13_ncr:1_{8BF33DC7-74EF-46D4-B0D0-5154C1198195}" xr6:coauthVersionLast="47" xr6:coauthVersionMax="47" xr10:uidLastSave="{00000000-0000-0000-0000-000000000000}"/>
  <bookViews>
    <workbookView xWindow="-110" yWindow="-110" windowWidth="19420" windowHeight="10300" firstSheet="1" activeTab="4" xr2:uid="{EA122736-2FA0-4434-8D9B-8DEDE5A67FD3}"/>
  </bookViews>
  <sheets>
    <sheet name="Initial year" sheetId="1" state="hidden" r:id="rId1"/>
    <sheet name="Farm_Background" sheetId="11" r:id="rId2"/>
    <sheet name="Initial Investment" sheetId="4" r:id="rId3"/>
    <sheet name="Coffee_Cost Data" sheetId="6" r:id="rId4"/>
    <sheet name="Intercrop_Cost Data" sheetId="8" r:id="rId5"/>
    <sheet name="Revenue_Data" sheetId="9" r:id="rId6"/>
    <sheet name="Data_Validation" sheetId="5" r:id="rId7"/>
    <sheet name="Coffee" sheetId="2" state="hidden" r:id="rId8"/>
    <sheet name="Intercrop" sheetId="3" state="hidden" r:id="rId9"/>
  </sheets>
  <definedNames>
    <definedName name="_xlnm._FilterDatabase" localSheetId="3" hidden="1">'Coffee_Cost Data'!$A$1:$N$161</definedName>
    <definedName name="_xlnm._FilterDatabase" localSheetId="2" hidden="1">'Initial Investment'!$A$1:$J$1</definedName>
    <definedName name="_xlnm._FilterDatabase" localSheetId="4" hidden="1">'Intercrop_Cost Data'!$A$1:$N$51</definedName>
    <definedName name="_xlnm._FilterDatabase" localSheetId="5" hidden="1">Revenue_Data!$A$1:$O$112</definedName>
    <definedName name="Coffee_Input">Data_Validation!$C$39:$C$41</definedName>
    <definedName name="Coffee_Labour">Data_Validation!$B$39:$B$44</definedName>
    <definedName name="Initial_Investment_Input">Data_Validation!$C$4:$C$9</definedName>
    <definedName name="Initial_Investment_Labour">Data_Validation!$B$4:$B$9</definedName>
    <definedName name="Intercrop_Input">Data_Validation!$C$48:$C$49</definedName>
    <definedName name="Intercrop_Labour">Data_Validation!$B$48:$B$51</definedName>
    <definedName name="Revenue_Form_Coffee">Data_Validation!$B$55:$B$57</definedName>
    <definedName name="Revenue_Form_Intercrop">Data_Validation!$C$55:$C$56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" i="9" l="1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2" i="9"/>
  <c r="M94" i="9"/>
  <c r="J94" i="9"/>
  <c r="N94" i="9"/>
  <c r="L94" i="9"/>
  <c r="L100" i="9"/>
  <c r="M100" i="9"/>
  <c r="N100" i="9"/>
  <c r="L101" i="9"/>
  <c r="M101" i="9"/>
  <c r="N101" i="9"/>
  <c r="L102" i="9"/>
  <c r="M102" i="9"/>
  <c r="N102" i="9"/>
  <c r="L103" i="9"/>
  <c r="M103" i="9"/>
  <c r="N103" i="9"/>
  <c r="L104" i="9"/>
  <c r="M104" i="9"/>
  <c r="N104" i="9"/>
  <c r="L105" i="9"/>
  <c r="M105" i="9"/>
  <c r="N105" i="9"/>
  <c r="L106" i="9"/>
  <c r="M106" i="9"/>
  <c r="N106" i="9"/>
  <c r="L107" i="9"/>
  <c r="M107" i="9"/>
  <c r="N107" i="9"/>
  <c r="L108" i="9"/>
  <c r="M108" i="9"/>
  <c r="N108" i="9"/>
  <c r="L109" i="9"/>
  <c r="M109" i="9"/>
  <c r="N109" i="9"/>
  <c r="L110" i="9"/>
  <c r="M110" i="9"/>
  <c r="N110" i="9"/>
  <c r="L111" i="9"/>
  <c r="M111" i="9"/>
  <c r="N111" i="9"/>
  <c r="L112" i="9"/>
  <c r="M112" i="9"/>
  <c r="N112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L2" i="9"/>
  <c r="M2" i="9"/>
  <c r="N2" i="9"/>
  <c r="J2" i="9"/>
  <c r="L95" i="9"/>
  <c r="L96" i="9"/>
  <c r="L97" i="9"/>
  <c r="L98" i="9"/>
  <c r="L99" i="9"/>
  <c r="N2" i="8"/>
  <c r="N2" i="6"/>
  <c r="N95" i="9"/>
  <c r="N96" i="9"/>
  <c r="N97" i="9"/>
  <c r="N98" i="9"/>
  <c r="N99" i="9"/>
  <c r="M95" i="9"/>
  <c r="M96" i="9"/>
  <c r="M97" i="9"/>
  <c r="M98" i="9"/>
  <c r="M99" i="9"/>
  <c r="J95" i="9"/>
  <c r="J96" i="9"/>
  <c r="J97" i="9"/>
  <c r="J98" i="9"/>
  <c r="J99" i="9"/>
  <c r="L2" i="8"/>
  <c r="J2" i="4"/>
  <c r="G40" i="3" l="1"/>
  <c r="G41" i="3"/>
  <c r="G42" i="3"/>
  <c r="G43" i="3"/>
  <c r="G44" i="3"/>
  <c r="G39" i="3"/>
  <c r="G30" i="3"/>
  <c r="G31" i="3"/>
  <c r="G32" i="3"/>
  <c r="G33" i="3"/>
  <c r="G34" i="3"/>
  <c r="G35" i="3"/>
  <c r="G36" i="3"/>
  <c r="G37" i="3"/>
  <c r="F24" i="3"/>
  <c r="F23" i="3"/>
  <c r="F22" i="3"/>
  <c r="F21" i="3"/>
  <c r="F17" i="3"/>
  <c r="F16" i="3" s="1"/>
  <c r="F18" i="3"/>
  <c r="F19" i="3"/>
  <c r="F9" i="3"/>
  <c r="F10" i="3"/>
  <c r="F11" i="3"/>
  <c r="F8" i="3"/>
  <c r="F96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78" i="2"/>
  <c r="G77" i="2" s="1"/>
  <c r="G57" i="2"/>
  <c r="G58" i="2"/>
  <c r="G56" i="2" s="1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51" i="2"/>
  <c r="F44" i="2"/>
  <c r="F45" i="2"/>
  <c r="F46" i="2"/>
  <c r="F43" i="2"/>
  <c r="F18" i="2"/>
  <c r="F55" i="3"/>
  <c r="F54" i="3"/>
  <c r="F53" i="3"/>
  <c r="F52" i="3"/>
  <c r="F51" i="3"/>
  <c r="F50" i="3"/>
  <c r="F101" i="2"/>
  <c r="F100" i="2"/>
  <c r="F99" i="2"/>
  <c r="F98" i="2"/>
  <c r="F97" i="2"/>
  <c r="G55" i="2"/>
  <c r="G54" i="2"/>
  <c r="G53" i="2"/>
  <c r="G52" i="2"/>
  <c r="G50" i="2" s="1"/>
  <c r="F41" i="2"/>
  <c r="F38" i="2" s="1"/>
  <c r="F40" i="2"/>
  <c r="F39" i="2"/>
  <c r="F37" i="2"/>
  <c r="F36" i="2"/>
  <c r="F35" i="2"/>
  <c r="F34" i="2"/>
  <c r="F32" i="2"/>
  <c r="F31" i="2"/>
  <c r="F30" i="2"/>
  <c r="F29" i="2"/>
  <c r="F27" i="2"/>
  <c r="F26" i="2"/>
  <c r="F25" i="2"/>
  <c r="F24" i="2"/>
  <c r="F23" i="2" s="1"/>
  <c r="F22" i="2"/>
  <c r="F21" i="2"/>
  <c r="F17" i="2" s="1"/>
  <c r="F20" i="2"/>
  <c r="F19" i="2"/>
  <c r="F47" i="2" l="1"/>
  <c r="F107" i="2" s="1"/>
  <c r="G93" i="2"/>
  <c r="F42" i="2"/>
  <c r="G29" i="3"/>
  <c r="F20" i="3"/>
  <c r="G38" i="3"/>
  <c r="F33" i="2"/>
  <c r="F28" i="2"/>
  <c r="F56" i="3"/>
  <c r="F60" i="3" s="1"/>
  <c r="F102" i="2"/>
  <c r="F106" i="2" s="1"/>
  <c r="F37" i="1"/>
  <c r="F30" i="1"/>
  <c r="F27" i="1"/>
  <c r="F18" i="1"/>
  <c r="F14" i="1"/>
  <c r="F5" i="1"/>
  <c r="F108" i="2" l="1"/>
  <c r="G45" i="3"/>
  <c r="F23" i="1"/>
  <c r="F34" i="1" s="1"/>
  <c r="F7" i="3"/>
  <c r="F25" i="3" s="1"/>
  <c r="F61" i="3" l="1"/>
  <c r="F62" i="3" s="1"/>
</calcChain>
</file>

<file path=xl/sharedStrings.xml><?xml version="1.0" encoding="utf-8"?>
<sst xmlns="http://schemas.openxmlformats.org/spreadsheetml/2006/main" count="781" uniqueCount="276">
  <si>
    <t>A.</t>
  </si>
  <si>
    <t>LABOUR</t>
  </si>
  <si>
    <t>MONTH</t>
  </si>
  <si>
    <t>DESCRIPTION</t>
  </si>
  <si>
    <t>UNIT</t>
  </si>
  <si>
    <t>QUANTITY</t>
  </si>
  <si>
    <t>UNIT PRICE</t>
  </si>
  <si>
    <t>TOTAL</t>
  </si>
  <si>
    <t>REMARK</t>
  </si>
  <si>
    <t>CLEARANCE</t>
  </si>
  <si>
    <t>Uproot of aged coffee</t>
  </si>
  <si>
    <t>Labor</t>
  </si>
  <si>
    <t>Pick up root -1st</t>
  </si>
  <si>
    <t>Wide plough - 1st</t>
  </si>
  <si>
    <t>Pick up root - 2nd</t>
  </si>
  <si>
    <t>Soil Analysis</t>
  </si>
  <si>
    <t>Lime application</t>
  </si>
  <si>
    <t>Wide plough - 2nd</t>
  </si>
  <si>
    <t>Dig holes</t>
  </si>
  <si>
    <t>Hole Preparation</t>
  </si>
  <si>
    <t>Plant Cassia splendida</t>
  </si>
  <si>
    <t>Plant Coffee and Shade trees</t>
  </si>
  <si>
    <t>Plant coffee seedlings</t>
  </si>
  <si>
    <t>FERTILIZER</t>
  </si>
  <si>
    <t>Round 1</t>
  </si>
  <si>
    <t>Round 2</t>
  </si>
  <si>
    <t>Round 3</t>
  </si>
  <si>
    <t>PESTICIDE</t>
  </si>
  <si>
    <t>WEEDING</t>
  </si>
  <si>
    <t>TOTAL A</t>
  </si>
  <si>
    <t>B.</t>
  </si>
  <si>
    <t>DATE</t>
  </si>
  <si>
    <t>Inputs</t>
  </si>
  <si>
    <t>Unit</t>
  </si>
  <si>
    <t>Quantity</t>
  </si>
  <si>
    <t>Unit Price</t>
  </si>
  <si>
    <t>Amount</t>
  </si>
  <si>
    <t>Remarks</t>
  </si>
  <si>
    <t>SEEDLINGS</t>
  </si>
  <si>
    <t>Coffee</t>
  </si>
  <si>
    <t>Trees</t>
  </si>
  <si>
    <t>Kg</t>
  </si>
  <si>
    <t>FERTILIZER APPLICATION R1</t>
  </si>
  <si>
    <t>Lime</t>
  </si>
  <si>
    <t>CMP</t>
  </si>
  <si>
    <t>Organic Fertilizer</t>
  </si>
  <si>
    <t>FERTILIZER APPLICATION R2</t>
  </si>
  <si>
    <t>Urea</t>
  </si>
  <si>
    <t>Potassium</t>
  </si>
  <si>
    <t>FERTILIZER APPLICATION R3</t>
  </si>
  <si>
    <t>Date</t>
  </si>
  <si>
    <t>TOTAL C</t>
  </si>
  <si>
    <t>Seq.</t>
  </si>
  <si>
    <t>Item</t>
  </si>
  <si>
    <t>………………..ngày……..tháng……….năm 20………</t>
  </si>
  <si>
    <t>TRƯỞNG CÂU LẠC BỘ</t>
  </si>
  <si>
    <t>CHỦ HỘ</t>
  </si>
  <si>
    <t>Comments Dave</t>
  </si>
  <si>
    <t>YEAR ….</t>
  </si>
  <si>
    <t>I would suggest to simplify the record keeping.</t>
  </si>
  <si>
    <t>A. LABOR COSTS</t>
  </si>
  <si>
    <t>Shall we keep just 6 main activities for recurrent costs</t>
  </si>
  <si>
    <t>Description</t>
  </si>
  <si>
    <t>Price per 
man-day</t>
  </si>
  <si>
    <t>Irr</t>
  </si>
  <si>
    <t>IRRIGATION</t>
  </si>
  <si>
    <t>Prun</t>
  </si>
  <si>
    <t>1st Round</t>
  </si>
  <si>
    <t>Weed</t>
  </si>
  <si>
    <t>2nd Round</t>
  </si>
  <si>
    <t>Fert</t>
  </si>
  <si>
    <t>3rd Round</t>
  </si>
  <si>
    <t>Agro-chem</t>
  </si>
  <si>
    <t>4th Round</t>
  </si>
  <si>
    <t>Harvest</t>
  </si>
  <si>
    <t>PRUNING</t>
  </si>
  <si>
    <t>Shall we add the investments TCN did for the demos?</t>
  </si>
  <si>
    <t>Costs</t>
  </si>
  <si>
    <t>clearing land</t>
  </si>
  <si>
    <t>planting</t>
  </si>
  <si>
    <t>cost seedlings</t>
  </si>
  <si>
    <t>For the intercrops I suggest</t>
  </si>
  <si>
    <t>Labor &amp; inputs for:</t>
  </si>
  <si>
    <t>FERTILIZER APPLICATION</t>
  </si>
  <si>
    <t>pruning (not sure; maybe insignificant)</t>
  </si>
  <si>
    <t>fertilizing (not sure… may be done while fertilizing coffee; avoid redundant recording)</t>
  </si>
  <si>
    <t>Pest management (seems some intercrops like Durian need more care)</t>
  </si>
  <si>
    <t>harvest</t>
  </si>
  <si>
    <t>Income</t>
  </si>
  <si>
    <t>AGRO-CHEMICAL USE</t>
  </si>
  <si>
    <t xml:space="preserve"> Revenue for intercrops (quantity, price, total)</t>
  </si>
  <si>
    <t xml:space="preserve"> Revenue for intercrops</t>
  </si>
  <si>
    <t>HARVEST</t>
  </si>
  <si>
    <t>Who takes lead to revise this template?</t>
  </si>
  <si>
    <t>B: INPUT COSTS</t>
  </si>
  <si>
    <t>Equipment/spare part</t>
  </si>
  <si>
    <t>C: COFFEE REVENUE</t>
  </si>
  <si>
    <t>Collection Points/Purchasing Agents</t>
  </si>
  <si>
    <t>D: PROFIT</t>
  </si>
  <si>
    <t>TOTAL REVENUE (C)</t>
  </si>
  <si>
    <t>TOTAL COSTS (A + B)</t>
  </si>
  <si>
    <t>PROFIT (C - A - B)</t>
  </si>
  <si>
    <t>A. LABOR COSTS-INTERCROP</t>
  </si>
  <si>
    <t>C: REVENUE</t>
  </si>
  <si>
    <t>INPUT INVESTMENT</t>
  </si>
  <si>
    <t>INITIAL YEAR</t>
  </si>
  <si>
    <t>Plant Shade trees/Fruit trees</t>
  </si>
  <si>
    <t>1st Round - Fertilizer 1</t>
  </si>
  <si>
    <t>1st Round - Fertilizer 2</t>
  </si>
  <si>
    <t>1st Round - Fertilizer 3</t>
  </si>
  <si>
    <t>1st Round - Fertilizer 4</t>
  </si>
  <si>
    <t>2nd Round - Fertilizer 1</t>
  </si>
  <si>
    <t>2nd Round - Fertilizer 2</t>
  </si>
  <si>
    <t>2nd Round - Fertilizer 3</t>
  </si>
  <si>
    <t>2nd Round - Fertilizer 4</t>
  </si>
  <si>
    <t>3rd Round - Fertilizer 1</t>
  </si>
  <si>
    <t>3rd Round - Fertilizer 2</t>
  </si>
  <si>
    <t>3rd Round - Fertilizer 3</t>
  </si>
  <si>
    <t>3rd Round - Fertilizer 4</t>
  </si>
  <si>
    <t>4th Round - Fertilizer 1</t>
  </si>
  <si>
    <t>4th Round - Fertilizer 2</t>
  </si>
  <si>
    <t>4th Round - Fertilizer 3</t>
  </si>
  <si>
    <t>4th Round - Fertilizer 4</t>
  </si>
  <si>
    <t>Type</t>
  </si>
  <si>
    <t>NPK</t>
  </si>
  <si>
    <t>1st round - Fertilizer 1</t>
  </si>
  <si>
    <t>1st round - Fertilizer 2</t>
  </si>
  <si>
    <t>1st round - Agro-chemical 1</t>
  </si>
  <si>
    <t>1st round - Agro-chemical 2</t>
  </si>
  <si>
    <t>1st round - Agro-chemical 3</t>
  </si>
  <si>
    <t>1st round - Agro-chemical 4</t>
  </si>
  <si>
    <t>1st Round - Fertilizer 5</t>
  </si>
  <si>
    <t>2nd Round - Fertilizer 5</t>
  </si>
  <si>
    <t>3rd Round - Fertilizer 5</t>
  </si>
  <si>
    <t>4th Round - Fertilizer 5</t>
  </si>
  <si>
    <t>1st round - Agro-chemical 5</t>
  </si>
  <si>
    <t>2nd round - Agro-chemical 1</t>
  </si>
  <si>
    <t>2nd round - Agro-chemical 2</t>
  </si>
  <si>
    <t>2nd round - Agro-chemical 3</t>
  </si>
  <si>
    <t>2nd round - Agro-chemical 4</t>
  </si>
  <si>
    <t>2nd round - Agro-chemical 5</t>
  </si>
  <si>
    <t>Pls add fertilizer brand name</t>
  </si>
  <si>
    <t>FARM BACKGROUND</t>
  </si>
  <si>
    <t>Type of tree</t>
  </si>
  <si>
    <t>Intercrop 1</t>
  </si>
  <si>
    <t>Insert name of intercropping tree</t>
  </si>
  <si>
    <t>Intercrop 2</t>
  </si>
  <si>
    <t>Intercrop 3</t>
  </si>
  <si>
    <t>Intercrop 4</t>
  </si>
  <si>
    <t>Intercrop 5</t>
  </si>
  <si>
    <t>No. of trees</t>
  </si>
  <si>
    <t>Year 1</t>
  </si>
  <si>
    <t>Year 2</t>
  </si>
  <si>
    <t>Year 3</t>
  </si>
  <si>
    <t>Year 4</t>
  </si>
  <si>
    <t>4+</t>
  </si>
  <si>
    <t>Only record the types of fertilizers specifically for intercrops, not applied to coffee trees
Pls add fertilizer brand name</t>
  </si>
  <si>
    <t>kg</t>
  </si>
  <si>
    <t>3rd round - Agro-chemical 1</t>
  </si>
  <si>
    <t>3rd round - Agro-chemical 2</t>
  </si>
  <si>
    <t>3rd round - Agro-chemical 3</t>
  </si>
  <si>
    <t>3rd round - Agro-chemical 4</t>
  </si>
  <si>
    <t>3rd round - Agro-chemical 5</t>
  </si>
  <si>
    <t>TOTAL B</t>
  </si>
  <si>
    <t>Dave</t>
  </si>
  <si>
    <t>what is the difference between L19 and L20? Perhaps we keep only 1 line?</t>
  </si>
  <si>
    <t>Seeds? Make clear</t>
  </si>
  <si>
    <t>Is the unit labor? Or shall we put this inder investment? It is a lab cost right? If labor we also need to add a cost item under investments for lab costs or is this insignificant?</t>
  </si>
  <si>
    <t>Units are missing</t>
  </si>
  <si>
    <t>What about electicity?</t>
  </si>
  <si>
    <t>For all labor unit shall be manday</t>
  </si>
  <si>
    <t>Is labor for fertilization missing?</t>
  </si>
  <si>
    <t>Manday</t>
  </si>
  <si>
    <t>Apply and mix organic fertilizer</t>
  </si>
  <si>
    <t>Apply and mix CMP with soil</t>
  </si>
  <si>
    <t>Cassia splendida seeds</t>
  </si>
  <si>
    <t>Diesel/Electricity of Round 1</t>
  </si>
  <si>
    <t>Diesel/Electricity of Round 2</t>
  </si>
  <si>
    <t>Diesel/Electricity of Round 3</t>
  </si>
  <si>
    <t>Diesel/Electricity of Round 4</t>
  </si>
  <si>
    <t>Diesel/Electricity of Round 5</t>
  </si>
  <si>
    <t>Liter/Kwh</t>
  </si>
  <si>
    <t>PESTICIDE APPLICATION R1</t>
  </si>
  <si>
    <t>Type of Pesticide</t>
  </si>
  <si>
    <t>PESTICIDE APPLICATION R2</t>
  </si>
  <si>
    <t>Initial investment type</t>
  </si>
  <si>
    <t>Initial investment - Sub type</t>
  </si>
  <si>
    <t>Model (Farmer's Name)</t>
  </si>
  <si>
    <t>Initial investment - Item</t>
  </si>
  <si>
    <t>Intitial investment - Total</t>
  </si>
  <si>
    <t>Initial Investment</t>
  </si>
  <si>
    <t>Initial Investment Type</t>
  </si>
  <si>
    <t>Labour</t>
  </si>
  <si>
    <t>Clearance</t>
  </si>
  <si>
    <t>Hole preparation</t>
  </si>
  <si>
    <t>Fertilizer</t>
  </si>
  <si>
    <t>Pesticide</t>
  </si>
  <si>
    <t>Weeding</t>
  </si>
  <si>
    <t>Seedlings</t>
  </si>
  <si>
    <t>Fertilizer application</t>
  </si>
  <si>
    <t>Fertilizer application - R1</t>
  </si>
  <si>
    <t>Fertilizer application - R2</t>
  </si>
  <si>
    <t>Fertilizer application - R3</t>
  </si>
  <si>
    <t>Pesticide application - R1</t>
  </si>
  <si>
    <t>Pesticide application - R2</t>
  </si>
  <si>
    <t>Input Investment</t>
  </si>
  <si>
    <t>Initial Investment - Labor</t>
  </si>
  <si>
    <t>Initial Investment - Input</t>
  </si>
  <si>
    <t>Input</t>
  </si>
  <si>
    <t>STT</t>
  </si>
  <si>
    <t>Coffee_Data</t>
  </si>
  <si>
    <t>Cost type</t>
  </si>
  <si>
    <t>Cost - Sub type</t>
  </si>
  <si>
    <t>Cost Type</t>
  </si>
  <si>
    <t>Cost Sub-type (Labour)</t>
  </si>
  <si>
    <t>Cost Sub-type (Input)</t>
  </si>
  <si>
    <t>Irrigation</t>
  </si>
  <si>
    <t>Pruning</t>
  </si>
  <si>
    <t>Agro-chemical</t>
  </si>
  <si>
    <t>Agro-chemical use</t>
  </si>
  <si>
    <t>Cost allocated round</t>
  </si>
  <si>
    <t>Total cost</t>
  </si>
  <si>
    <t>Brand</t>
  </si>
  <si>
    <t>Intercrop_Data</t>
  </si>
  <si>
    <t>Kg/Liter</t>
  </si>
  <si>
    <t>Only record the types of agro-chemical specifically for intercrops, not applied to coffee trees
Pls add brand name
Please help farmers convert to liters if they measure usage using bottle</t>
  </si>
  <si>
    <t>Pls add agro-chemical brand name
Please help farmers convert to liters if they measure usage using bottle</t>
  </si>
  <si>
    <t>Revenue source</t>
  </si>
  <si>
    <t>Intercrop</t>
  </si>
  <si>
    <t>Form</t>
  </si>
  <si>
    <t>Revenue_Data</t>
  </si>
  <si>
    <t>Revenue Source</t>
  </si>
  <si>
    <t>Form_Coffee</t>
  </si>
  <si>
    <t>Fresh cherry</t>
  </si>
  <si>
    <t>Dried cherry</t>
  </si>
  <si>
    <t>Green bean</t>
  </si>
  <si>
    <t>Form_Intercrop</t>
  </si>
  <si>
    <t>Durian</t>
  </si>
  <si>
    <t>Macadamia</t>
  </si>
  <si>
    <t>Total revenue</t>
  </si>
  <si>
    <t>Collection Point/Purchasing Agent</t>
  </si>
  <si>
    <t>Nguyễn Văn A</t>
  </si>
  <si>
    <t>Nguyễn Văn B</t>
  </si>
  <si>
    <t>Nguyễn Văn G</t>
  </si>
  <si>
    <t>Nguyễn Văn D</t>
  </si>
  <si>
    <t>Nguyễn Văn F</t>
  </si>
  <si>
    <t>Nguyễn Văn H</t>
  </si>
  <si>
    <t>Nguyễn Văn C</t>
  </si>
  <si>
    <t>Nguyễn Văn I</t>
  </si>
  <si>
    <t>Liter</t>
  </si>
  <si>
    <t>Diesel</t>
  </si>
  <si>
    <t>Year</t>
  </si>
  <si>
    <t>Unit_Conversion</t>
  </si>
  <si>
    <t>Quantity_Conversion</t>
  </si>
  <si>
    <t>Price_Conversion</t>
  </si>
  <si>
    <t>Agent A</t>
  </si>
  <si>
    <t>Agent B</t>
  </si>
  <si>
    <t>Agent C</t>
  </si>
  <si>
    <t>#Coffee_OverYear4</t>
  </si>
  <si>
    <t>#Durian_OverYear4</t>
  </si>
  <si>
    <t>#Durian_Year1</t>
  </si>
  <si>
    <t>#Durian_Year2</t>
  </si>
  <si>
    <t>#Durian_Year3</t>
  </si>
  <si>
    <t>#Durian_Year4</t>
  </si>
  <si>
    <t>#Coffee_Year1</t>
  </si>
  <si>
    <t>#Coffee_Year2</t>
  </si>
  <si>
    <t>#Coffee_Year3</t>
  </si>
  <si>
    <t>#Coffee_Year4</t>
  </si>
  <si>
    <t>#Maca_Year1</t>
  </si>
  <si>
    <t>#Maca_Year2</t>
  </si>
  <si>
    <t>#Maca_Year3</t>
  </si>
  <si>
    <t>#Maca_Year4</t>
  </si>
  <si>
    <t>#Maca_OverYear4</t>
  </si>
  <si>
    <t>Farm_size</t>
  </si>
  <si>
    <t>Type of intercrop</t>
  </si>
  <si>
    <t>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</si>
</sst>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[$-409]dd\-mmm\-yy;@"/>
  </numFmts>
  <fonts count="15">
    <font>
      <sz val="11"/>
      <name val="UVnTime"/>
    </font>
    <font>
      <sz val="11"/>
      <name val="UVnTime"/>
    </font>
    <font>
      <sz val="16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u/>
      <sz val="10"/>
      <name val="Verdana"/>
      <family val="2"/>
    </font>
    <font>
      <i/>
      <sz val="10"/>
      <color rgb="FFFF0000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b/>
      <sz val="11"/>
      <color theme="0"/>
      <name val="UVnTime"/>
    </font>
    <font>
      <b/>
      <sz val="11"/>
      <name val="UVnTime"/>
    </font>
    <font>
      <sz val="8"/>
      <name val="UVnTime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 style="thin">
        <color indexed="23"/>
      </bottom>
      <diagonal/>
    </border>
    <border>
      <left/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0" fontId="3" fillId="0" borderId="3" xfId="0" applyFont="1" applyBorder="1"/>
    <xf numFmtId="164" fontId="3" fillId="3" borderId="3" xfId="1" applyNumberFormat="1" applyFont="1" applyFill="1" applyBorder="1" applyAlignment="1"/>
    <xf numFmtId="0" fontId="3" fillId="3" borderId="3" xfId="0" applyFont="1" applyFill="1" applyBorder="1"/>
    <xf numFmtId="164" fontId="3" fillId="2" borderId="3" xfId="1" applyNumberFormat="1" applyFont="1" applyFill="1" applyBorder="1" applyAlignment="1"/>
    <xf numFmtId="164" fontId="3" fillId="0" borderId="3" xfId="1" applyNumberFormat="1" applyFont="1" applyFill="1" applyBorder="1" applyAlignment="1" applyProtection="1">
      <alignment wrapText="1"/>
      <protection hidden="1"/>
    </xf>
    <xf numFmtId="0" fontId="3" fillId="0" borderId="3" xfId="0" applyFont="1" applyBorder="1" applyAlignment="1" applyProtection="1">
      <alignment wrapText="1"/>
      <protection hidden="1"/>
    </xf>
    <xf numFmtId="164" fontId="3" fillId="0" borderId="3" xfId="1" applyNumberFormat="1" applyFont="1" applyBorder="1" applyAlignment="1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/>
    <xf numFmtId="164" fontId="4" fillId="2" borderId="4" xfId="1" applyNumberFormat="1" applyFont="1" applyFill="1" applyBorder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164" fontId="3" fillId="4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164" fontId="3" fillId="0" borderId="6" xfId="1" applyNumberFormat="1" applyFont="1" applyFill="1" applyBorder="1" applyAlignment="1">
      <alignment vertical="center" wrapText="1"/>
    </xf>
    <xf numFmtId="0" fontId="3" fillId="4" borderId="3" xfId="0" applyFont="1" applyFill="1" applyBorder="1"/>
    <xf numFmtId="0" fontId="4" fillId="4" borderId="3" xfId="0" applyFont="1" applyFill="1" applyBorder="1"/>
    <xf numFmtId="164" fontId="3" fillId="4" borderId="3" xfId="1" applyNumberFormat="1" applyFont="1" applyFill="1" applyBorder="1" applyAlignment="1"/>
    <xf numFmtId="164" fontId="3" fillId="0" borderId="3" xfId="1" applyNumberFormat="1" applyFont="1" applyFill="1" applyBorder="1" applyAlignment="1"/>
    <xf numFmtId="0" fontId="3" fillId="4" borderId="4" xfId="0" applyFont="1" applyFill="1" applyBorder="1"/>
    <xf numFmtId="0" fontId="4" fillId="4" borderId="4" xfId="0" applyFont="1" applyFill="1" applyBorder="1" applyAlignment="1">
      <alignment horizontal="center"/>
    </xf>
    <xf numFmtId="164" fontId="4" fillId="4" borderId="4" xfId="0" applyNumberFormat="1" applyFont="1" applyFill="1" applyBorder="1"/>
    <xf numFmtId="0" fontId="4" fillId="0" borderId="0" xfId="0" applyFont="1" applyAlignment="1">
      <alignment horizontal="center"/>
    </xf>
    <xf numFmtId="164" fontId="3" fillId="0" borderId="0" xfId="0" applyNumberFormat="1" applyFont="1"/>
    <xf numFmtId="0" fontId="4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/>
    <xf numFmtId="0" fontId="4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3" fillId="6" borderId="4" xfId="0" applyFont="1" applyFill="1" applyBorder="1"/>
    <xf numFmtId="0" fontId="4" fillId="6" borderId="4" xfId="0" applyFont="1" applyFill="1" applyBorder="1"/>
    <xf numFmtId="0" fontId="3" fillId="7" borderId="0" xfId="0" applyFont="1" applyFill="1"/>
    <xf numFmtId="0" fontId="4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8" fillId="7" borderId="0" xfId="0" applyFont="1" applyFill="1"/>
    <xf numFmtId="164" fontId="3" fillId="7" borderId="0" xfId="1" applyNumberFormat="1" applyFont="1" applyFill="1"/>
    <xf numFmtId="43" fontId="3" fillId="0" borderId="0" xfId="0" applyNumberFormat="1" applyFont="1"/>
    <xf numFmtId="164" fontId="3" fillId="0" borderId="0" xfId="1" applyNumberFormat="1" applyFont="1" applyBorder="1"/>
    <xf numFmtId="164" fontId="3" fillId="0" borderId="0" xfId="1" applyNumberFormat="1" applyFont="1"/>
    <xf numFmtId="164" fontId="4" fillId="4" borderId="2" xfId="1" applyNumberFormat="1" applyFont="1" applyFill="1" applyBorder="1" applyAlignment="1">
      <alignment horizontal="center" vertical="center" wrapText="1"/>
    </xf>
    <xf numFmtId="164" fontId="4" fillId="5" borderId="2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Border="1"/>
    <xf numFmtId="164" fontId="3" fillId="5" borderId="4" xfId="1" applyNumberFormat="1" applyFont="1" applyFill="1" applyBorder="1" applyAlignment="1"/>
    <xf numFmtId="164" fontId="4" fillId="6" borderId="2" xfId="1" applyNumberFormat="1" applyFont="1" applyFill="1" applyBorder="1" applyAlignment="1">
      <alignment horizontal="center" vertical="center" wrapText="1"/>
    </xf>
    <xf numFmtId="164" fontId="3" fillId="6" borderId="4" xfId="1" applyNumberFormat="1" applyFont="1" applyFill="1" applyBorder="1"/>
    <xf numFmtId="9" fontId="3" fillId="0" borderId="0" xfId="2" applyFont="1"/>
    <xf numFmtId="0" fontId="3" fillId="0" borderId="7" xfId="0" applyFont="1" applyBorder="1"/>
    <xf numFmtId="0" fontId="3" fillId="0" borderId="9" xfId="0" applyFont="1" applyBorder="1"/>
    <xf numFmtId="0" fontId="4" fillId="4" borderId="6" xfId="0" applyFont="1" applyFill="1" applyBorder="1"/>
    <xf numFmtId="0" fontId="3" fillId="4" borderId="9" xfId="0" applyFont="1" applyFill="1" applyBorder="1"/>
    <xf numFmtId="0" fontId="4" fillId="4" borderId="9" xfId="0" applyFont="1" applyFill="1" applyBorder="1"/>
    <xf numFmtId="164" fontId="3" fillId="4" borderId="9" xfId="1" applyNumberFormat="1" applyFont="1" applyFill="1" applyBorder="1" applyAlignment="1"/>
    <xf numFmtId="0" fontId="4" fillId="0" borderId="9" xfId="0" applyFont="1" applyBorder="1" applyAlignment="1">
      <alignment horizontal="left"/>
    </xf>
    <xf numFmtId="164" fontId="3" fillId="0" borderId="9" xfId="1" applyNumberFormat="1" applyFont="1" applyBorder="1"/>
    <xf numFmtId="0" fontId="4" fillId="4" borderId="1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10" xfId="0" applyFont="1" applyFill="1" applyBorder="1"/>
    <xf numFmtId="0" fontId="3" fillId="0" borderId="10" xfId="0" applyFont="1" applyBorder="1"/>
    <xf numFmtId="0" fontId="3" fillId="4" borderId="11" xfId="0" applyFont="1" applyFill="1" applyBorder="1"/>
    <xf numFmtId="0" fontId="3" fillId="0" borderId="11" xfId="0" applyFont="1" applyBorder="1"/>
    <xf numFmtId="0" fontId="4" fillId="4" borderId="9" xfId="0" applyFont="1" applyFill="1" applyBorder="1" applyAlignment="1">
      <alignment vertical="center" wrapText="1"/>
    </xf>
    <xf numFmtId="0" fontId="9" fillId="3" borderId="3" xfId="0" applyFont="1" applyFill="1" applyBorder="1"/>
    <xf numFmtId="0" fontId="9" fillId="0" borderId="3" xfId="0" applyFont="1" applyBorder="1"/>
    <xf numFmtId="0" fontId="3" fillId="0" borderId="9" xfId="0" applyFont="1" applyBorder="1" applyAlignment="1">
      <alignment horizontal="center"/>
    </xf>
    <xf numFmtId="0" fontId="9" fillId="0" borderId="14" xfId="0" applyFont="1" applyBorder="1"/>
    <xf numFmtId="0" fontId="4" fillId="0" borderId="9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wrapText="1"/>
    </xf>
    <xf numFmtId="0" fontId="3" fillId="3" borderId="0" xfId="0" applyFont="1" applyFill="1"/>
    <xf numFmtId="164" fontId="3" fillId="3" borderId="0" xfId="1" applyNumberFormat="1" applyFont="1" applyFill="1" applyBorder="1" applyAlignment="1"/>
    <xf numFmtId="0" fontId="3" fillId="3" borderId="7" xfId="0" applyFont="1" applyFill="1" applyBorder="1"/>
    <xf numFmtId="164" fontId="3" fillId="3" borderId="7" xfId="1" applyNumberFormat="1" applyFont="1" applyFill="1" applyBorder="1" applyAlignment="1"/>
    <xf numFmtId="0" fontId="3" fillId="3" borderId="9" xfId="0" applyFont="1" applyFill="1" applyBorder="1"/>
    <xf numFmtId="164" fontId="3" fillId="3" borderId="9" xfId="1" applyNumberFormat="1" applyFont="1" applyFill="1" applyBorder="1" applyAlignment="1"/>
    <xf numFmtId="0" fontId="3" fillId="4" borderId="8" xfId="0" applyFont="1" applyFill="1" applyBorder="1"/>
    <xf numFmtId="0" fontId="4" fillId="4" borderId="8" xfId="0" applyFont="1" applyFill="1" applyBorder="1"/>
    <xf numFmtId="164" fontId="3" fillId="4" borderId="8" xfId="1" applyNumberFormat="1" applyFont="1" applyFill="1" applyBorder="1" applyAlignment="1"/>
    <xf numFmtId="0" fontId="3" fillId="0" borderId="21" xfId="0" applyFont="1" applyBorder="1"/>
    <xf numFmtId="0" fontId="3" fillId="3" borderId="21" xfId="0" applyFont="1" applyFill="1" applyBorder="1"/>
    <xf numFmtId="164" fontId="3" fillId="3" borderId="21" xfId="1" applyNumberFormat="1" applyFont="1" applyFill="1" applyBorder="1" applyAlignment="1"/>
    <xf numFmtId="164" fontId="3" fillId="0" borderId="9" xfId="1" applyNumberFormat="1" applyFont="1" applyFill="1" applyBorder="1" applyAlignment="1"/>
    <xf numFmtId="0" fontId="4" fillId="4" borderId="9" xfId="0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3" fillId="8" borderId="0" xfId="0" applyFont="1" applyFill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9" xfId="0" applyBorder="1"/>
    <xf numFmtId="0" fontId="12" fillId="9" borderId="9" xfId="0" applyFont="1" applyFill="1" applyBorder="1" applyAlignment="1">
      <alignment horizontal="center"/>
    </xf>
    <xf numFmtId="0" fontId="9" fillId="3" borderId="3" xfId="0" applyFont="1" applyFill="1" applyBorder="1" applyAlignment="1">
      <alignment wrapText="1"/>
    </xf>
    <xf numFmtId="165" fontId="0" fillId="0" borderId="9" xfId="0" applyNumberFormat="1" applyBorder="1"/>
    <xf numFmtId="164" fontId="12" fillId="9" borderId="9" xfId="1" applyNumberFormat="1" applyFont="1" applyFill="1" applyBorder="1" applyAlignment="1">
      <alignment horizontal="center"/>
    </xf>
    <xf numFmtId="164" fontId="0" fillId="0" borderId="9" xfId="1" applyNumberFormat="1" applyFont="1" applyBorder="1"/>
    <xf numFmtId="164" fontId="0" fillId="0" borderId="0" xfId="1" applyNumberFormat="1" applyFont="1"/>
    <xf numFmtId="164" fontId="0" fillId="0" borderId="9" xfId="0" applyNumberFormat="1" applyBorder="1"/>
    <xf numFmtId="0" fontId="12" fillId="9" borderId="0" xfId="0" applyFont="1" applyFill="1" applyAlignment="1">
      <alignment horizontal="center"/>
    </xf>
    <xf numFmtId="166" fontId="0" fillId="0" borderId="9" xfId="0" applyNumberFormat="1" applyBorder="1"/>
    <xf numFmtId="164" fontId="0" fillId="0" borderId="0" xfId="0" applyNumberFormat="1"/>
    <xf numFmtId="2" fontId="0" fillId="0" borderId="0" xfId="0" applyNumberFormat="1"/>
    <xf numFmtId="0" fontId="13" fillId="0" borderId="0" xfId="0" applyFont="1" applyAlignment="1">
      <alignment horizontal="center"/>
    </xf>
    <xf numFmtId="0" fontId="12" fillId="9" borderId="3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3">
    <cellStyle name="Comma" xfId="1" builtinId="3"/>
    <cellStyle name="Normal" xfId="0" builtinId="0"/>
    <cellStyle name="Percent 2" xfId="2" xr:uid="{7B4235B4-2CBB-432C-A77E-7BBDED18E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EA0A-AF45-477C-89F4-E7C0B571C12D}">
  <dimension ref="A1:H69"/>
  <sheetViews>
    <sheetView topLeftCell="A38" zoomScale="68" zoomScaleNormal="68" workbookViewId="0">
      <selection activeCell="B51" sqref="B51"/>
    </sheetView>
  </sheetViews>
  <sheetFormatPr defaultColWidth="9" defaultRowHeight="13.5"/>
  <cols>
    <col min="1" max="1" width="8.08203125" style="1" customWidth="1"/>
    <col min="2" max="2" width="33.08203125" style="1" customWidth="1"/>
    <col min="3" max="3" width="10.08203125" style="1" bestFit="1" customWidth="1"/>
    <col min="4" max="4" width="13.08203125" style="1" bestFit="1" customWidth="1"/>
    <col min="5" max="5" width="14.5" style="1" bestFit="1" customWidth="1"/>
    <col min="6" max="6" width="14.33203125" style="1" bestFit="1" customWidth="1"/>
    <col min="7" max="7" width="12.1640625" style="1" bestFit="1" customWidth="1"/>
    <col min="8" max="8" width="9" style="101"/>
    <col min="9" max="256" width="9" style="1"/>
    <col min="257" max="257" width="8.08203125" style="1" customWidth="1"/>
    <col min="258" max="258" width="32" style="1" bestFit="1" customWidth="1"/>
    <col min="259" max="259" width="10.08203125" style="1" bestFit="1" customWidth="1"/>
    <col min="260" max="260" width="13.08203125" style="1" bestFit="1" customWidth="1"/>
    <col min="261" max="261" width="14.5" style="1" bestFit="1" customWidth="1"/>
    <col min="262" max="262" width="14.33203125" style="1" bestFit="1" customWidth="1"/>
    <col min="263" max="263" width="12.1640625" style="1" bestFit="1" customWidth="1"/>
    <col min="264" max="512" width="9" style="1"/>
    <col min="513" max="513" width="8.08203125" style="1" customWidth="1"/>
    <col min="514" max="514" width="32" style="1" bestFit="1" customWidth="1"/>
    <col min="515" max="515" width="10.08203125" style="1" bestFit="1" customWidth="1"/>
    <col min="516" max="516" width="13.08203125" style="1" bestFit="1" customWidth="1"/>
    <col min="517" max="517" width="14.5" style="1" bestFit="1" customWidth="1"/>
    <col min="518" max="518" width="14.33203125" style="1" bestFit="1" customWidth="1"/>
    <col min="519" max="519" width="12.1640625" style="1" bestFit="1" customWidth="1"/>
    <col min="520" max="768" width="9" style="1"/>
    <col min="769" max="769" width="8.08203125" style="1" customWidth="1"/>
    <col min="770" max="770" width="32" style="1" bestFit="1" customWidth="1"/>
    <col min="771" max="771" width="10.08203125" style="1" bestFit="1" customWidth="1"/>
    <col min="772" max="772" width="13.08203125" style="1" bestFit="1" customWidth="1"/>
    <col min="773" max="773" width="14.5" style="1" bestFit="1" customWidth="1"/>
    <col min="774" max="774" width="14.33203125" style="1" bestFit="1" customWidth="1"/>
    <col min="775" max="775" width="12.1640625" style="1" bestFit="1" customWidth="1"/>
    <col min="776" max="1024" width="9" style="1"/>
    <col min="1025" max="1025" width="8.08203125" style="1" customWidth="1"/>
    <col min="1026" max="1026" width="32" style="1" bestFit="1" customWidth="1"/>
    <col min="1027" max="1027" width="10.08203125" style="1" bestFit="1" customWidth="1"/>
    <col min="1028" max="1028" width="13.08203125" style="1" bestFit="1" customWidth="1"/>
    <col min="1029" max="1029" width="14.5" style="1" bestFit="1" customWidth="1"/>
    <col min="1030" max="1030" width="14.33203125" style="1" bestFit="1" customWidth="1"/>
    <col min="1031" max="1031" width="12.1640625" style="1" bestFit="1" customWidth="1"/>
    <col min="1032" max="1280" width="9" style="1"/>
    <col min="1281" max="1281" width="8.08203125" style="1" customWidth="1"/>
    <col min="1282" max="1282" width="32" style="1" bestFit="1" customWidth="1"/>
    <col min="1283" max="1283" width="10.08203125" style="1" bestFit="1" customWidth="1"/>
    <col min="1284" max="1284" width="13.08203125" style="1" bestFit="1" customWidth="1"/>
    <col min="1285" max="1285" width="14.5" style="1" bestFit="1" customWidth="1"/>
    <col min="1286" max="1286" width="14.33203125" style="1" bestFit="1" customWidth="1"/>
    <col min="1287" max="1287" width="12.1640625" style="1" bestFit="1" customWidth="1"/>
    <col min="1288" max="1536" width="9" style="1"/>
    <col min="1537" max="1537" width="8.08203125" style="1" customWidth="1"/>
    <col min="1538" max="1538" width="32" style="1" bestFit="1" customWidth="1"/>
    <col min="1539" max="1539" width="10.08203125" style="1" bestFit="1" customWidth="1"/>
    <col min="1540" max="1540" width="13.08203125" style="1" bestFit="1" customWidth="1"/>
    <col min="1541" max="1541" width="14.5" style="1" bestFit="1" customWidth="1"/>
    <col min="1542" max="1542" width="14.33203125" style="1" bestFit="1" customWidth="1"/>
    <col min="1543" max="1543" width="12.1640625" style="1" bestFit="1" customWidth="1"/>
    <col min="1544" max="1792" width="9" style="1"/>
    <col min="1793" max="1793" width="8.08203125" style="1" customWidth="1"/>
    <col min="1794" max="1794" width="32" style="1" bestFit="1" customWidth="1"/>
    <col min="1795" max="1795" width="10.08203125" style="1" bestFit="1" customWidth="1"/>
    <col min="1796" max="1796" width="13.08203125" style="1" bestFit="1" customWidth="1"/>
    <col min="1797" max="1797" width="14.5" style="1" bestFit="1" customWidth="1"/>
    <col min="1798" max="1798" width="14.33203125" style="1" bestFit="1" customWidth="1"/>
    <col min="1799" max="1799" width="12.1640625" style="1" bestFit="1" customWidth="1"/>
    <col min="1800" max="2048" width="9" style="1"/>
    <col min="2049" max="2049" width="8.08203125" style="1" customWidth="1"/>
    <col min="2050" max="2050" width="32" style="1" bestFit="1" customWidth="1"/>
    <col min="2051" max="2051" width="10.08203125" style="1" bestFit="1" customWidth="1"/>
    <col min="2052" max="2052" width="13.08203125" style="1" bestFit="1" customWidth="1"/>
    <col min="2053" max="2053" width="14.5" style="1" bestFit="1" customWidth="1"/>
    <col min="2054" max="2054" width="14.33203125" style="1" bestFit="1" customWidth="1"/>
    <col min="2055" max="2055" width="12.1640625" style="1" bestFit="1" customWidth="1"/>
    <col min="2056" max="2304" width="9" style="1"/>
    <col min="2305" max="2305" width="8.08203125" style="1" customWidth="1"/>
    <col min="2306" max="2306" width="32" style="1" bestFit="1" customWidth="1"/>
    <col min="2307" max="2307" width="10.08203125" style="1" bestFit="1" customWidth="1"/>
    <col min="2308" max="2308" width="13.08203125" style="1" bestFit="1" customWidth="1"/>
    <col min="2309" max="2309" width="14.5" style="1" bestFit="1" customWidth="1"/>
    <col min="2310" max="2310" width="14.33203125" style="1" bestFit="1" customWidth="1"/>
    <col min="2311" max="2311" width="12.1640625" style="1" bestFit="1" customWidth="1"/>
    <col min="2312" max="2560" width="9" style="1"/>
    <col min="2561" max="2561" width="8.08203125" style="1" customWidth="1"/>
    <col min="2562" max="2562" width="32" style="1" bestFit="1" customWidth="1"/>
    <col min="2563" max="2563" width="10.08203125" style="1" bestFit="1" customWidth="1"/>
    <col min="2564" max="2564" width="13.08203125" style="1" bestFit="1" customWidth="1"/>
    <col min="2565" max="2565" width="14.5" style="1" bestFit="1" customWidth="1"/>
    <col min="2566" max="2566" width="14.33203125" style="1" bestFit="1" customWidth="1"/>
    <col min="2567" max="2567" width="12.1640625" style="1" bestFit="1" customWidth="1"/>
    <col min="2568" max="2816" width="9" style="1"/>
    <col min="2817" max="2817" width="8.08203125" style="1" customWidth="1"/>
    <col min="2818" max="2818" width="32" style="1" bestFit="1" customWidth="1"/>
    <col min="2819" max="2819" width="10.08203125" style="1" bestFit="1" customWidth="1"/>
    <col min="2820" max="2820" width="13.08203125" style="1" bestFit="1" customWidth="1"/>
    <col min="2821" max="2821" width="14.5" style="1" bestFit="1" customWidth="1"/>
    <col min="2822" max="2822" width="14.33203125" style="1" bestFit="1" customWidth="1"/>
    <col min="2823" max="2823" width="12.1640625" style="1" bestFit="1" customWidth="1"/>
    <col min="2824" max="3072" width="9" style="1"/>
    <col min="3073" max="3073" width="8.08203125" style="1" customWidth="1"/>
    <col min="3074" max="3074" width="32" style="1" bestFit="1" customWidth="1"/>
    <col min="3075" max="3075" width="10.08203125" style="1" bestFit="1" customWidth="1"/>
    <col min="3076" max="3076" width="13.08203125" style="1" bestFit="1" customWidth="1"/>
    <col min="3077" max="3077" width="14.5" style="1" bestFit="1" customWidth="1"/>
    <col min="3078" max="3078" width="14.33203125" style="1" bestFit="1" customWidth="1"/>
    <col min="3079" max="3079" width="12.1640625" style="1" bestFit="1" customWidth="1"/>
    <col min="3080" max="3328" width="9" style="1"/>
    <col min="3329" max="3329" width="8.08203125" style="1" customWidth="1"/>
    <col min="3330" max="3330" width="32" style="1" bestFit="1" customWidth="1"/>
    <col min="3331" max="3331" width="10.08203125" style="1" bestFit="1" customWidth="1"/>
    <col min="3332" max="3332" width="13.08203125" style="1" bestFit="1" customWidth="1"/>
    <col min="3333" max="3333" width="14.5" style="1" bestFit="1" customWidth="1"/>
    <col min="3334" max="3334" width="14.33203125" style="1" bestFit="1" customWidth="1"/>
    <col min="3335" max="3335" width="12.1640625" style="1" bestFit="1" customWidth="1"/>
    <col min="3336" max="3584" width="9" style="1"/>
    <col min="3585" max="3585" width="8.08203125" style="1" customWidth="1"/>
    <col min="3586" max="3586" width="32" style="1" bestFit="1" customWidth="1"/>
    <col min="3587" max="3587" width="10.08203125" style="1" bestFit="1" customWidth="1"/>
    <col min="3588" max="3588" width="13.08203125" style="1" bestFit="1" customWidth="1"/>
    <col min="3589" max="3589" width="14.5" style="1" bestFit="1" customWidth="1"/>
    <col min="3590" max="3590" width="14.33203125" style="1" bestFit="1" customWidth="1"/>
    <col min="3591" max="3591" width="12.1640625" style="1" bestFit="1" customWidth="1"/>
    <col min="3592" max="3840" width="9" style="1"/>
    <col min="3841" max="3841" width="8.08203125" style="1" customWidth="1"/>
    <col min="3842" max="3842" width="32" style="1" bestFit="1" customWidth="1"/>
    <col min="3843" max="3843" width="10.08203125" style="1" bestFit="1" customWidth="1"/>
    <col min="3844" max="3844" width="13.08203125" style="1" bestFit="1" customWidth="1"/>
    <col min="3845" max="3845" width="14.5" style="1" bestFit="1" customWidth="1"/>
    <col min="3846" max="3846" width="14.33203125" style="1" bestFit="1" customWidth="1"/>
    <col min="3847" max="3847" width="12.1640625" style="1" bestFit="1" customWidth="1"/>
    <col min="3848" max="4096" width="9" style="1"/>
    <col min="4097" max="4097" width="8.08203125" style="1" customWidth="1"/>
    <col min="4098" max="4098" width="32" style="1" bestFit="1" customWidth="1"/>
    <col min="4099" max="4099" width="10.08203125" style="1" bestFit="1" customWidth="1"/>
    <col min="4100" max="4100" width="13.08203125" style="1" bestFit="1" customWidth="1"/>
    <col min="4101" max="4101" width="14.5" style="1" bestFit="1" customWidth="1"/>
    <col min="4102" max="4102" width="14.33203125" style="1" bestFit="1" customWidth="1"/>
    <col min="4103" max="4103" width="12.1640625" style="1" bestFit="1" customWidth="1"/>
    <col min="4104" max="4352" width="9" style="1"/>
    <col min="4353" max="4353" width="8.08203125" style="1" customWidth="1"/>
    <col min="4354" max="4354" width="32" style="1" bestFit="1" customWidth="1"/>
    <col min="4355" max="4355" width="10.08203125" style="1" bestFit="1" customWidth="1"/>
    <col min="4356" max="4356" width="13.08203125" style="1" bestFit="1" customWidth="1"/>
    <col min="4357" max="4357" width="14.5" style="1" bestFit="1" customWidth="1"/>
    <col min="4358" max="4358" width="14.33203125" style="1" bestFit="1" customWidth="1"/>
    <col min="4359" max="4359" width="12.1640625" style="1" bestFit="1" customWidth="1"/>
    <col min="4360" max="4608" width="9" style="1"/>
    <col min="4609" max="4609" width="8.08203125" style="1" customWidth="1"/>
    <col min="4610" max="4610" width="32" style="1" bestFit="1" customWidth="1"/>
    <col min="4611" max="4611" width="10.08203125" style="1" bestFit="1" customWidth="1"/>
    <col min="4612" max="4612" width="13.08203125" style="1" bestFit="1" customWidth="1"/>
    <col min="4613" max="4613" width="14.5" style="1" bestFit="1" customWidth="1"/>
    <col min="4614" max="4614" width="14.33203125" style="1" bestFit="1" customWidth="1"/>
    <col min="4615" max="4615" width="12.1640625" style="1" bestFit="1" customWidth="1"/>
    <col min="4616" max="4864" width="9" style="1"/>
    <col min="4865" max="4865" width="8.08203125" style="1" customWidth="1"/>
    <col min="4866" max="4866" width="32" style="1" bestFit="1" customWidth="1"/>
    <col min="4867" max="4867" width="10.08203125" style="1" bestFit="1" customWidth="1"/>
    <col min="4868" max="4868" width="13.08203125" style="1" bestFit="1" customWidth="1"/>
    <col min="4869" max="4869" width="14.5" style="1" bestFit="1" customWidth="1"/>
    <col min="4870" max="4870" width="14.33203125" style="1" bestFit="1" customWidth="1"/>
    <col min="4871" max="4871" width="12.1640625" style="1" bestFit="1" customWidth="1"/>
    <col min="4872" max="5120" width="9" style="1"/>
    <col min="5121" max="5121" width="8.08203125" style="1" customWidth="1"/>
    <col min="5122" max="5122" width="32" style="1" bestFit="1" customWidth="1"/>
    <col min="5123" max="5123" width="10.08203125" style="1" bestFit="1" customWidth="1"/>
    <col min="5124" max="5124" width="13.08203125" style="1" bestFit="1" customWidth="1"/>
    <col min="5125" max="5125" width="14.5" style="1" bestFit="1" customWidth="1"/>
    <col min="5126" max="5126" width="14.33203125" style="1" bestFit="1" customWidth="1"/>
    <col min="5127" max="5127" width="12.1640625" style="1" bestFit="1" customWidth="1"/>
    <col min="5128" max="5376" width="9" style="1"/>
    <col min="5377" max="5377" width="8.08203125" style="1" customWidth="1"/>
    <col min="5378" max="5378" width="32" style="1" bestFit="1" customWidth="1"/>
    <col min="5379" max="5379" width="10.08203125" style="1" bestFit="1" customWidth="1"/>
    <col min="5380" max="5380" width="13.08203125" style="1" bestFit="1" customWidth="1"/>
    <col min="5381" max="5381" width="14.5" style="1" bestFit="1" customWidth="1"/>
    <col min="5382" max="5382" width="14.33203125" style="1" bestFit="1" customWidth="1"/>
    <col min="5383" max="5383" width="12.1640625" style="1" bestFit="1" customWidth="1"/>
    <col min="5384" max="5632" width="9" style="1"/>
    <col min="5633" max="5633" width="8.08203125" style="1" customWidth="1"/>
    <col min="5634" max="5634" width="32" style="1" bestFit="1" customWidth="1"/>
    <col min="5635" max="5635" width="10.08203125" style="1" bestFit="1" customWidth="1"/>
    <col min="5636" max="5636" width="13.08203125" style="1" bestFit="1" customWidth="1"/>
    <col min="5637" max="5637" width="14.5" style="1" bestFit="1" customWidth="1"/>
    <col min="5638" max="5638" width="14.33203125" style="1" bestFit="1" customWidth="1"/>
    <col min="5639" max="5639" width="12.1640625" style="1" bestFit="1" customWidth="1"/>
    <col min="5640" max="5888" width="9" style="1"/>
    <col min="5889" max="5889" width="8.08203125" style="1" customWidth="1"/>
    <col min="5890" max="5890" width="32" style="1" bestFit="1" customWidth="1"/>
    <col min="5891" max="5891" width="10.08203125" style="1" bestFit="1" customWidth="1"/>
    <col min="5892" max="5892" width="13.08203125" style="1" bestFit="1" customWidth="1"/>
    <col min="5893" max="5893" width="14.5" style="1" bestFit="1" customWidth="1"/>
    <col min="5894" max="5894" width="14.33203125" style="1" bestFit="1" customWidth="1"/>
    <col min="5895" max="5895" width="12.1640625" style="1" bestFit="1" customWidth="1"/>
    <col min="5896" max="6144" width="9" style="1"/>
    <col min="6145" max="6145" width="8.08203125" style="1" customWidth="1"/>
    <col min="6146" max="6146" width="32" style="1" bestFit="1" customWidth="1"/>
    <col min="6147" max="6147" width="10.08203125" style="1" bestFit="1" customWidth="1"/>
    <col min="6148" max="6148" width="13.08203125" style="1" bestFit="1" customWidth="1"/>
    <col min="6149" max="6149" width="14.5" style="1" bestFit="1" customWidth="1"/>
    <col min="6150" max="6150" width="14.33203125" style="1" bestFit="1" customWidth="1"/>
    <col min="6151" max="6151" width="12.1640625" style="1" bestFit="1" customWidth="1"/>
    <col min="6152" max="6400" width="9" style="1"/>
    <col min="6401" max="6401" width="8.08203125" style="1" customWidth="1"/>
    <col min="6402" max="6402" width="32" style="1" bestFit="1" customWidth="1"/>
    <col min="6403" max="6403" width="10.08203125" style="1" bestFit="1" customWidth="1"/>
    <col min="6404" max="6404" width="13.08203125" style="1" bestFit="1" customWidth="1"/>
    <col min="6405" max="6405" width="14.5" style="1" bestFit="1" customWidth="1"/>
    <col min="6406" max="6406" width="14.33203125" style="1" bestFit="1" customWidth="1"/>
    <col min="6407" max="6407" width="12.1640625" style="1" bestFit="1" customWidth="1"/>
    <col min="6408" max="6656" width="9" style="1"/>
    <col min="6657" max="6657" width="8.08203125" style="1" customWidth="1"/>
    <col min="6658" max="6658" width="32" style="1" bestFit="1" customWidth="1"/>
    <col min="6659" max="6659" width="10.08203125" style="1" bestFit="1" customWidth="1"/>
    <col min="6660" max="6660" width="13.08203125" style="1" bestFit="1" customWidth="1"/>
    <col min="6661" max="6661" width="14.5" style="1" bestFit="1" customWidth="1"/>
    <col min="6662" max="6662" width="14.33203125" style="1" bestFit="1" customWidth="1"/>
    <col min="6663" max="6663" width="12.1640625" style="1" bestFit="1" customWidth="1"/>
    <col min="6664" max="6912" width="9" style="1"/>
    <col min="6913" max="6913" width="8.08203125" style="1" customWidth="1"/>
    <col min="6914" max="6914" width="32" style="1" bestFit="1" customWidth="1"/>
    <col min="6915" max="6915" width="10.08203125" style="1" bestFit="1" customWidth="1"/>
    <col min="6916" max="6916" width="13.08203125" style="1" bestFit="1" customWidth="1"/>
    <col min="6917" max="6917" width="14.5" style="1" bestFit="1" customWidth="1"/>
    <col min="6918" max="6918" width="14.33203125" style="1" bestFit="1" customWidth="1"/>
    <col min="6919" max="6919" width="12.1640625" style="1" bestFit="1" customWidth="1"/>
    <col min="6920" max="7168" width="9" style="1"/>
    <col min="7169" max="7169" width="8.08203125" style="1" customWidth="1"/>
    <col min="7170" max="7170" width="32" style="1" bestFit="1" customWidth="1"/>
    <col min="7171" max="7171" width="10.08203125" style="1" bestFit="1" customWidth="1"/>
    <col min="7172" max="7172" width="13.08203125" style="1" bestFit="1" customWidth="1"/>
    <col min="7173" max="7173" width="14.5" style="1" bestFit="1" customWidth="1"/>
    <col min="7174" max="7174" width="14.33203125" style="1" bestFit="1" customWidth="1"/>
    <col min="7175" max="7175" width="12.1640625" style="1" bestFit="1" customWidth="1"/>
    <col min="7176" max="7424" width="9" style="1"/>
    <col min="7425" max="7425" width="8.08203125" style="1" customWidth="1"/>
    <col min="7426" max="7426" width="32" style="1" bestFit="1" customWidth="1"/>
    <col min="7427" max="7427" width="10.08203125" style="1" bestFit="1" customWidth="1"/>
    <col min="7428" max="7428" width="13.08203125" style="1" bestFit="1" customWidth="1"/>
    <col min="7429" max="7429" width="14.5" style="1" bestFit="1" customWidth="1"/>
    <col min="7430" max="7430" width="14.33203125" style="1" bestFit="1" customWidth="1"/>
    <col min="7431" max="7431" width="12.1640625" style="1" bestFit="1" customWidth="1"/>
    <col min="7432" max="7680" width="9" style="1"/>
    <col min="7681" max="7681" width="8.08203125" style="1" customWidth="1"/>
    <col min="7682" max="7682" width="32" style="1" bestFit="1" customWidth="1"/>
    <col min="7683" max="7683" width="10.08203125" style="1" bestFit="1" customWidth="1"/>
    <col min="7684" max="7684" width="13.08203125" style="1" bestFit="1" customWidth="1"/>
    <col min="7685" max="7685" width="14.5" style="1" bestFit="1" customWidth="1"/>
    <col min="7686" max="7686" width="14.33203125" style="1" bestFit="1" customWidth="1"/>
    <col min="7687" max="7687" width="12.1640625" style="1" bestFit="1" customWidth="1"/>
    <col min="7688" max="7936" width="9" style="1"/>
    <col min="7937" max="7937" width="8.08203125" style="1" customWidth="1"/>
    <col min="7938" max="7938" width="32" style="1" bestFit="1" customWidth="1"/>
    <col min="7939" max="7939" width="10.08203125" style="1" bestFit="1" customWidth="1"/>
    <col min="7940" max="7940" width="13.08203125" style="1" bestFit="1" customWidth="1"/>
    <col min="7941" max="7941" width="14.5" style="1" bestFit="1" customWidth="1"/>
    <col min="7942" max="7942" width="14.33203125" style="1" bestFit="1" customWidth="1"/>
    <col min="7943" max="7943" width="12.1640625" style="1" bestFit="1" customWidth="1"/>
    <col min="7944" max="8192" width="9" style="1"/>
    <col min="8193" max="8193" width="8.08203125" style="1" customWidth="1"/>
    <col min="8194" max="8194" width="32" style="1" bestFit="1" customWidth="1"/>
    <col min="8195" max="8195" width="10.08203125" style="1" bestFit="1" customWidth="1"/>
    <col min="8196" max="8196" width="13.08203125" style="1" bestFit="1" customWidth="1"/>
    <col min="8197" max="8197" width="14.5" style="1" bestFit="1" customWidth="1"/>
    <col min="8198" max="8198" width="14.33203125" style="1" bestFit="1" customWidth="1"/>
    <col min="8199" max="8199" width="12.1640625" style="1" bestFit="1" customWidth="1"/>
    <col min="8200" max="8448" width="9" style="1"/>
    <col min="8449" max="8449" width="8.08203125" style="1" customWidth="1"/>
    <col min="8450" max="8450" width="32" style="1" bestFit="1" customWidth="1"/>
    <col min="8451" max="8451" width="10.08203125" style="1" bestFit="1" customWidth="1"/>
    <col min="8452" max="8452" width="13.08203125" style="1" bestFit="1" customWidth="1"/>
    <col min="8453" max="8453" width="14.5" style="1" bestFit="1" customWidth="1"/>
    <col min="8454" max="8454" width="14.33203125" style="1" bestFit="1" customWidth="1"/>
    <col min="8455" max="8455" width="12.1640625" style="1" bestFit="1" customWidth="1"/>
    <col min="8456" max="8704" width="9" style="1"/>
    <col min="8705" max="8705" width="8.08203125" style="1" customWidth="1"/>
    <col min="8706" max="8706" width="32" style="1" bestFit="1" customWidth="1"/>
    <col min="8707" max="8707" width="10.08203125" style="1" bestFit="1" customWidth="1"/>
    <col min="8708" max="8708" width="13.08203125" style="1" bestFit="1" customWidth="1"/>
    <col min="8709" max="8709" width="14.5" style="1" bestFit="1" customWidth="1"/>
    <col min="8710" max="8710" width="14.33203125" style="1" bestFit="1" customWidth="1"/>
    <col min="8711" max="8711" width="12.1640625" style="1" bestFit="1" customWidth="1"/>
    <col min="8712" max="8960" width="9" style="1"/>
    <col min="8961" max="8961" width="8.08203125" style="1" customWidth="1"/>
    <col min="8962" max="8962" width="32" style="1" bestFit="1" customWidth="1"/>
    <col min="8963" max="8963" width="10.08203125" style="1" bestFit="1" customWidth="1"/>
    <col min="8964" max="8964" width="13.08203125" style="1" bestFit="1" customWidth="1"/>
    <col min="8965" max="8965" width="14.5" style="1" bestFit="1" customWidth="1"/>
    <col min="8966" max="8966" width="14.33203125" style="1" bestFit="1" customWidth="1"/>
    <col min="8967" max="8967" width="12.1640625" style="1" bestFit="1" customWidth="1"/>
    <col min="8968" max="9216" width="9" style="1"/>
    <col min="9217" max="9217" width="8.08203125" style="1" customWidth="1"/>
    <col min="9218" max="9218" width="32" style="1" bestFit="1" customWidth="1"/>
    <col min="9219" max="9219" width="10.08203125" style="1" bestFit="1" customWidth="1"/>
    <col min="9220" max="9220" width="13.08203125" style="1" bestFit="1" customWidth="1"/>
    <col min="9221" max="9221" width="14.5" style="1" bestFit="1" customWidth="1"/>
    <col min="9222" max="9222" width="14.33203125" style="1" bestFit="1" customWidth="1"/>
    <col min="9223" max="9223" width="12.1640625" style="1" bestFit="1" customWidth="1"/>
    <col min="9224" max="9472" width="9" style="1"/>
    <col min="9473" max="9473" width="8.08203125" style="1" customWidth="1"/>
    <col min="9474" max="9474" width="32" style="1" bestFit="1" customWidth="1"/>
    <col min="9475" max="9475" width="10.08203125" style="1" bestFit="1" customWidth="1"/>
    <col min="9476" max="9476" width="13.08203125" style="1" bestFit="1" customWidth="1"/>
    <col min="9477" max="9477" width="14.5" style="1" bestFit="1" customWidth="1"/>
    <col min="9478" max="9478" width="14.33203125" style="1" bestFit="1" customWidth="1"/>
    <col min="9479" max="9479" width="12.1640625" style="1" bestFit="1" customWidth="1"/>
    <col min="9480" max="9728" width="9" style="1"/>
    <col min="9729" max="9729" width="8.08203125" style="1" customWidth="1"/>
    <col min="9730" max="9730" width="32" style="1" bestFit="1" customWidth="1"/>
    <col min="9731" max="9731" width="10.08203125" style="1" bestFit="1" customWidth="1"/>
    <col min="9732" max="9732" width="13.08203125" style="1" bestFit="1" customWidth="1"/>
    <col min="9733" max="9733" width="14.5" style="1" bestFit="1" customWidth="1"/>
    <col min="9734" max="9734" width="14.33203125" style="1" bestFit="1" customWidth="1"/>
    <col min="9735" max="9735" width="12.1640625" style="1" bestFit="1" customWidth="1"/>
    <col min="9736" max="9984" width="9" style="1"/>
    <col min="9985" max="9985" width="8.08203125" style="1" customWidth="1"/>
    <col min="9986" max="9986" width="32" style="1" bestFit="1" customWidth="1"/>
    <col min="9987" max="9987" width="10.08203125" style="1" bestFit="1" customWidth="1"/>
    <col min="9988" max="9988" width="13.08203125" style="1" bestFit="1" customWidth="1"/>
    <col min="9989" max="9989" width="14.5" style="1" bestFit="1" customWidth="1"/>
    <col min="9990" max="9990" width="14.33203125" style="1" bestFit="1" customWidth="1"/>
    <col min="9991" max="9991" width="12.1640625" style="1" bestFit="1" customWidth="1"/>
    <col min="9992" max="10240" width="9" style="1"/>
    <col min="10241" max="10241" width="8.08203125" style="1" customWidth="1"/>
    <col min="10242" max="10242" width="32" style="1" bestFit="1" customWidth="1"/>
    <col min="10243" max="10243" width="10.08203125" style="1" bestFit="1" customWidth="1"/>
    <col min="10244" max="10244" width="13.08203125" style="1" bestFit="1" customWidth="1"/>
    <col min="10245" max="10245" width="14.5" style="1" bestFit="1" customWidth="1"/>
    <col min="10246" max="10246" width="14.33203125" style="1" bestFit="1" customWidth="1"/>
    <col min="10247" max="10247" width="12.1640625" style="1" bestFit="1" customWidth="1"/>
    <col min="10248" max="10496" width="9" style="1"/>
    <col min="10497" max="10497" width="8.08203125" style="1" customWidth="1"/>
    <col min="10498" max="10498" width="32" style="1" bestFit="1" customWidth="1"/>
    <col min="10499" max="10499" width="10.08203125" style="1" bestFit="1" customWidth="1"/>
    <col min="10500" max="10500" width="13.08203125" style="1" bestFit="1" customWidth="1"/>
    <col min="10501" max="10501" width="14.5" style="1" bestFit="1" customWidth="1"/>
    <col min="10502" max="10502" width="14.33203125" style="1" bestFit="1" customWidth="1"/>
    <col min="10503" max="10503" width="12.1640625" style="1" bestFit="1" customWidth="1"/>
    <col min="10504" max="10752" width="9" style="1"/>
    <col min="10753" max="10753" width="8.08203125" style="1" customWidth="1"/>
    <col min="10754" max="10754" width="32" style="1" bestFit="1" customWidth="1"/>
    <col min="10755" max="10755" width="10.08203125" style="1" bestFit="1" customWidth="1"/>
    <col min="10756" max="10756" width="13.08203125" style="1" bestFit="1" customWidth="1"/>
    <col min="10757" max="10757" width="14.5" style="1" bestFit="1" customWidth="1"/>
    <col min="10758" max="10758" width="14.33203125" style="1" bestFit="1" customWidth="1"/>
    <col min="10759" max="10759" width="12.1640625" style="1" bestFit="1" customWidth="1"/>
    <col min="10760" max="11008" width="9" style="1"/>
    <col min="11009" max="11009" width="8.08203125" style="1" customWidth="1"/>
    <col min="11010" max="11010" width="32" style="1" bestFit="1" customWidth="1"/>
    <col min="11011" max="11011" width="10.08203125" style="1" bestFit="1" customWidth="1"/>
    <col min="11012" max="11012" width="13.08203125" style="1" bestFit="1" customWidth="1"/>
    <col min="11013" max="11013" width="14.5" style="1" bestFit="1" customWidth="1"/>
    <col min="11014" max="11014" width="14.33203125" style="1" bestFit="1" customWidth="1"/>
    <col min="11015" max="11015" width="12.1640625" style="1" bestFit="1" customWidth="1"/>
    <col min="11016" max="11264" width="9" style="1"/>
    <col min="11265" max="11265" width="8.08203125" style="1" customWidth="1"/>
    <col min="11266" max="11266" width="32" style="1" bestFit="1" customWidth="1"/>
    <col min="11267" max="11267" width="10.08203125" style="1" bestFit="1" customWidth="1"/>
    <col min="11268" max="11268" width="13.08203125" style="1" bestFit="1" customWidth="1"/>
    <col min="11269" max="11269" width="14.5" style="1" bestFit="1" customWidth="1"/>
    <col min="11270" max="11270" width="14.33203125" style="1" bestFit="1" customWidth="1"/>
    <col min="11271" max="11271" width="12.1640625" style="1" bestFit="1" customWidth="1"/>
    <col min="11272" max="11520" width="9" style="1"/>
    <col min="11521" max="11521" width="8.08203125" style="1" customWidth="1"/>
    <col min="11522" max="11522" width="32" style="1" bestFit="1" customWidth="1"/>
    <col min="11523" max="11523" width="10.08203125" style="1" bestFit="1" customWidth="1"/>
    <col min="11524" max="11524" width="13.08203125" style="1" bestFit="1" customWidth="1"/>
    <col min="11525" max="11525" width="14.5" style="1" bestFit="1" customWidth="1"/>
    <col min="11526" max="11526" width="14.33203125" style="1" bestFit="1" customWidth="1"/>
    <col min="11527" max="11527" width="12.1640625" style="1" bestFit="1" customWidth="1"/>
    <col min="11528" max="11776" width="9" style="1"/>
    <col min="11777" max="11777" width="8.08203125" style="1" customWidth="1"/>
    <col min="11778" max="11778" width="32" style="1" bestFit="1" customWidth="1"/>
    <col min="11779" max="11779" width="10.08203125" style="1" bestFit="1" customWidth="1"/>
    <col min="11780" max="11780" width="13.08203125" style="1" bestFit="1" customWidth="1"/>
    <col min="11781" max="11781" width="14.5" style="1" bestFit="1" customWidth="1"/>
    <col min="11782" max="11782" width="14.33203125" style="1" bestFit="1" customWidth="1"/>
    <col min="11783" max="11783" width="12.1640625" style="1" bestFit="1" customWidth="1"/>
    <col min="11784" max="12032" width="9" style="1"/>
    <col min="12033" max="12033" width="8.08203125" style="1" customWidth="1"/>
    <col min="12034" max="12034" width="32" style="1" bestFit="1" customWidth="1"/>
    <col min="12035" max="12035" width="10.08203125" style="1" bestFit="1" customWidth="1"/>
    <col min="12036" max="12036" width="13.08203125" style="1" bestFit="1" customWidth="1"/>
    <col min="12037" max="12037" width="14.5" style="1" bestFit="1" customWidth="1"/>
    <col min="12038" max="12038" width="14.33203125" style="1" bestFit="1" customWidth="1"/>
    <col min="12039" max="12039" width="12.1640625" style="1" bestFit="1" customWidth="1"/>
    <col min="12040" max="12288" width="9" style="1"/>
    <col min="12289" max="12289" width="8.08203125" style="1" customWidth="1"/>
    <col min="12290" max="12290" width="32" style="1" bestFit="1" customWidth="1"/>
    <col min="12291" max="12291" width="10.08203125" style="1" bestFit="1" customWidth="1"/>
    <col min="12292" max="12292" width="13.08203125" style="1" bestFit="1" customWidth="1"/>
    <col min="12293" max="12293" width="14.5" style="1" bestFit="1" customWidth="1"/>
    <col min="12294" max="12294" width="14.33203125" style="1" bestFit="1" customWidth="1"/>
    <col min="12295" max="12295" width="12.1640625" style="1" bestFit="1" customWidth="1"/>
    <col min="12296" max="12544" width="9" style="1"/>
    <col min="12545" max="12545" width="8.08203125" style="1" customWidth="1"/>
    <col min="12546" max="12546" width="32" style="1" bestFit="1" customWidth="1"/>
    <col min="12547" max="12547" width="10.08203125" style="1" bestFit="1" customWidth="1"/>
    <col min="12548" max="12548" width="13.08203125" style="1" bestFit="1" customWidth="1"/>
    <col min="12549" max="12549" width="14.5" style="1" bestFit="1" customWidth="1"/>
    <col min="12550" max="12550" width="14.33203125" style="1" bestFit="1" customWidth="1"/>
    <col min="12551" max="12551" width="12.1640625" style="1" bestFit="1" customWidth="1"/>
    <col min="12552" max="12800" width="9" style="1"/>
    <col min="12801" max="12801" width="8.08203125" style="1" customWidth="1"/>
    <col min="12802" max="12802" width="32" style="1" bestFit="1" customWidth="1"/>
    <col min="12803" max="12803" width="10.08203125" style="1" bestFit="1" customWidth="1"/>
    <col min="12804" max="12804" width="13.08203125" style="1" bestFit="1" customWidth="1"/>
    <col min="12805" max="12805" width="14.5" style="1" bestFit="1" customWidth="1"/>
    <col min="12806" max="12806" width="14.33203125" style="1" bestFit="1" customWidth="1"/>
    <col min="12807" max="12807" width="12.1640625" style="1" bestFit="1" customWidth="1"/>
    <col min="12808" max="13056" width="9" style="1"/>
    <col min="13057" max="13057" width="8.08203125" style="1" customWidth="1"/>
    <col min="13058" max="13058" width="32" style="1" bestFit="1" customWidth="1"/>
    <col min="13059" max="13059" width="10.08203125" style="1" bestFit="1" customWidth="1"/>
    <col min="13060" max="13060" width="13.08203125" style="1" bestFit="1" customWidth="1"/>
    <col min="13061" max="13061" width="14.5" style="1" bestFit="1" customWidth="1"/>
    <col min="13062" max="13062" width="14.33203125" style="1" bestFit="1" customWidth="1"/>
    <col min="13063" max="13063" width="12.1640625" style="1" bestFit="1" customWidth="1"/>
    <col min="13064" max="13312" width="9" style="1"/>
    <col min="13313" max="13313" width="8.08203125" style="1" customWidth="1"/>
    <col min="13314" max="13314" width="32" style="1" bestFit="1" customWidth="1"/>
    <col min="13315" max="13315" width="10.08203125" style="1" bestFit="1" customWidth="1"/>
    <col min="13316" max="13316" width="13.08203125" style="1" bestFit="1" customWidth="1"/>
    <col min="13317" max="13317" width="14.5" style="1" bestFit="1" customWidth="1"/>
    <col min="13318" max="13318" width="14.33203125" style="1" bestFit="1" customWidth="1"/>
    <col min="13319" max="13319" width="12.1640625" style="1" bestFit="1" customWidth="1"/>
    <col min="13320" max="13568" width="9" style="1"/>
    <col min="13569" max="13569" width="8.08203125" style="1" customWidth="1"/>
    <col min="13570" max="13570" width="32" style="1" bestFit="1" customWidth="1"/>
    <col min="13571" max="13571" width="10.08203125" style="1" bestFit="1" customWidth="1"/>
    <col min="13572" max="13572" width="13.08203125" style="1" bestFit="1" customWidth="1"/>
    <col min="13573" max="13573" width="14.5" style="1" bestFit="1" customWidth="1"/>
    <col min="13574" max="13574" width="14.33203125" style="1" bestFit="1" customWidth="1"/>
    <col min="13575" max="13575" width="12.1640625" style="1" bestFit="1" customWidth="1"/>
    <col min="13576" max="13824" width="9" style="1"/>
    <col min="13825" max="13825" width="8.08203125" style="1" customWidth="1"/>
    <col min="13826" max="13826" width="32" style="1" bestFit="1" customWidth="1"/>
    <col min="13827" max="13827" width="10.08203125" style="1" bestFit="1" customWidth="1"/>
    <col min="13828" max="13828" width="13.08203125" style="1" bestFit="1" customWidth="1"/>
    <col min="13829" max="13829" width="14.5" style="1" bestFit="1" customWidth="1"/>
    <col min="13830" max="13830" width="14.33203125" style="1" bestFit="1" customWidth="1"/>
    <col min="13831" max="13831" width="12.1640625" style="1" bestFit="1" customWidth="1"/>
    <col min="13832" max="14080" width="9" style="1"/>
    <col min="14081" max="14081" width="8.08203125" style="1" customWidth="1"/>
    <col min="14082" max="14082" width="32" style="1" bestFit="1" customWidth="1"/>
    <col min="14083" max="14083" width="10.08203125" style="1" bestFit="1" customWidth="1"/>
    <col min="14084" max="14084" width="13.08203125" style="1" bestFit="1" customWidth="1"/>
    <col min="14085" max="14085" width="14.5" style="1" bestFit="1" customWidth="1"/>
    <col min="14086" max="14086" width="14.33203125" style="1" bestFit="1" customWidth="1"/>
    <col min="14087" max="14087" width="12.1640625" style="1" bestFit="1" customWidth="1"/>
    <col min="14088" max="14336" width="9" style="1"/>
    <col min="14337" max="14337" width="8.08203125" style="1" customWidth="1"/>
    <col min="14338" max="14338" width="32" style="1" bestFit="1" customWidth="1"/>
    <col min="14339" max="14339" width="10.08203125" style="1" bestFit="1" customWidth="1"/>
    <col min="14340" max="14340" width="13.08203125" style="1" bestFit="1" customWidth="1"/>
    <col min="14341" max="14341" width="14.5" style="1" bestFit="1" customWidth="1"/>
    <col min="14342" max="14342" width="14.33203125" style="1" bestFit="1" customWidth="1"/>
    <col min="14343" max="14343" width="12.1640625" style="1" bestFit="1" customWidth="1"/>
    <col min="14344" max="14592" width="9" style="1"/>
    <col min="14593" max="14593" width="8.08203125" style="1" customWidth="1"/>
    <col min="14594" max="14594" width="32" style="1" bestFit="1" customWidth="1"/>
    <col min="14595" max="14595" width="10.08203125" style="1" bestFit="1" customWidth="1"/>
    <col min="14596" max="14596" width="13.08203125" style="1" bestFit="1" customWidth="1"/>
    <col min="14597" max="14597" width="14.5" style="1" bestFit="1" customWidth="1"/>
    <col min="14598" max="14598" width="14.33203125" style="1" bestFit="1" customWidth="1"/>
    <col min="14599" max="14599" width="12.1640625" style="1" bestFit="1" customWidth="1"/>
    <col min="14600" max="14848" width="9" style="1"/>
    <col min="14849" max="14849" width="8.08203125" style="1" customWidth="1"/>
    <col min="14850" max="14850" width="32" style="1" bestFit="1" customWidth="1"/>
    <col min="14851" max="14851" width="10.08203125" style="1" bestFit="1" customWidth="1"/>
    <col min="14852" max="14852" width="13.08203125" style="1" bestFit="1" customWidth="1"/>
    <col min="14853" max="14853" width="14.5" style="1" bestFit="1" customWidth="1"/>
    <col min="14854" max="14854" width="14.33203125" style="1" bestFit="1" customWidth="1"/>
    <col min="14855" max="14855" width="12.1640625" style="1" bestFit="1" customWidth="1"/>
    <col min="14856" max="15104" width="9" style="1"/>
    <col min="15105" max="15105" width="8.08203125" style="1" customWidth="1"/>
    <col min="15106" max="15106" width="32" style="1" bestFit="1" customWidth="1"/>
    <col min="15107" max="15107" width="10.08203125" style="1" bestFit="1" customWidth="1"/>
    <col min="15108" max="15108" width="13.08203125" style="1" bestFit="1" customWidth="1"/>
    <col min="15109" max="15109" width="14.5" style="1" bestFit="1" customWidth="1"/>
    <col min="15110" max="15110" width="14.33203125" style="1" bestFit="1" customWidth="1"/>
    <col min="15111" max="15111" width="12.1640625" style="1" bestFit="1" customWidth="1"/>
    <col min="15112" max="15360" width="9" style="1"/>
    <col min="15361" max="15361" width="8.08203125" style="1" customWidth="1"/>
    <col min="15362" max="15362" width="32" style="1" bestFit="1" customWidth="1"/>
    <col min="15363" max="15363" width="10.08203125" style="1" bestFit="1" customWidth="1"/>
    <col min="15364" max="15364" width="13.08203125" style="1" bestFit="1" customWidth="1"/>
    <col min="15365" max="15365" width="14.5" style="1" bestFit="1" customWidth="1"/>
    <col min="15366" max="15366" width="14.33203125" style="1" bestFit="1" customWidth="1"/>
    <col min="15367" max="15367" width="12.1640625" style="1" bestFit="1" customWidth="1"/>
    <col min="15368" max="15616" width="9" style="1"/>
    <col min="15617" max="15617" width="8.08203125" style="1" customWidth="1"/>
    <col min="15618" max="15618" width="32" style="1" bestFit="1" customWidth="1"/>
    <col min="15619" max="15619" width="10.08203125" style="1" bestFit="1" customWidth="1"/>
    <col min="15620" max="15620" width="13.08203125" style="1" bestFit="1" customWidth="1"/>
    <col min="15621" max="15621" width="14.5" style="1" bestFit="1" customWidth="1"/>
    <col min="15622" max="15622" width="14.33203125" style="1" bestFit="1" customWidth="1"/>
    <col min="15623" max="15623" width="12.1640625" style="1" bestFit="1" customWidth="1"/>
    <col min="15624" max="15872" width="9" style="1"/>
    <col min="15873" max="15873" width="8.08203125" style="1" customWidth="1"/>
    <col min="15874" max="15874" width="32" style="1" bestFit="1" customWidth="1"/>
    <col min="15875" max="15875" width="10.08203125" style="1" bestFit="1" customWidth="1"/>
    <col min="15876" max="15876" width="13.08203125" style="1" bestFit="1" customWidth="1"/>
    <col min="15877" max="15877" width="14.5" style="1" bestFit="1" customWidth="1"/>
    <col min="15878" max="15878" width="14.33203125" style="1" bestFit="1" customWidth="1"/>
    <col min="15879" max="15879" width="12.1640625" style="1" bestFit="1" customWidth="1"/>
    <col min="15880" max="16128" width="9" style="1"/>
    <col min="16129" max="16129" width="8.08203125" style="1" customWidth="1"/>
    <col min="16130" max="16130" width="32" style="1" bestFit="1" customWidth="1"/>
    <col min="16131" max="16131" width="10.08203125" style="1" bestFit="1" customWidth="1"/>
    <col min="16132" max="16132" width="13.08203125" style="1" bestFit="1" customWidth="1"/>
    <col min="16133" max="16133" width="14.5" style="1" bestFit="1" customWidth="1"/>
    <col min="16134" max="16134" width="14.33203125" style="1" bestFit="1" customWidth="1"/>
    <col min="16135" max="16135" width="12.1640625" style="1" bestFit="1" customWidth="1"/>
    <col min="16136" max="16384" width="9" style="1"/>
  </cols>
  <sheetData>
    <row r="1" spans="1:8" ht="19.5">
      <c r="A1" s="126" t="s">
        <v>105</v>
      </c>
      <c r="B1" s="126"/>
      <c r="C1" s="126"/>
      <c r="D1" s="126"/>
      <c r="E1" s="126"/>
      <c r="F1" s="126"/>
      <c r="G1" s="126"/>
    </row>
    <row r="3" spans="1:8" ht="14" thickBot="1">
      <c r="A3" s="2" t="s">
        <v>0</v>
      </c>
      <c r="B3" s="3" t="s">
        <v>1</v>
      </c>
      <c r="C3" s="3"/>
      <c r="D3" s="4"/>
      <c r="E3" s="4"/>
      <c r="F3" s="4"/>
      <c r="G3" s="4"/>
      <c r="H3" s="101" t="s">
        <v>164</v>
      </c>
    </row>
    <row r="4" spans="1:8" ht="19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8" ht="18" customHeight="1">
      <c r="A5" s="6"/>
      <c r="B5" s="7" t="s">
        <v>9</v>
      </c>
      <c r="C5" s="8"/>
      <c r="D5" s="8"/>
      <c r="E5" s="9"/>
      <c r="F5" s="9">
        <f>SUM(F6:F13)</f>
        <v>0</v>
      </c>
      <c r="G5" s="8"/>
    </row>
    <row r="6" spans="1:8" ht="16" customHeight="1">
      <c r="A6" s="10"/>
      <c r="B6" s="10" t="s">
        <v>10</v>
      </c>
      <c r="C6" s="10" t="s">
        <v>172</v>
      </c>
      <c r="D6" s="11"/>
      <c r="E6" s="11"/>
      <c r="F6" s="11"/>
      <c r="G6" s="12"/>
      <c r="H6" s="101" t="s">
        <v>170</v>
      </c>
    </row>
    <row r="7" spans="1:8" ht="16" customHeight="1">
      <c r="A7" s="10"/>
      <c r="B7" s="10" t="s">
        <v>12</v>
      </c>
      <c r="C7" s="10" t="s">
        <v>172</v>
      </c>
      <c r="D7" s="11"/>
      <c r="E7" s="11"/>
      <c r="F7" s="11"/>
      <c r="G7" s="12"/>
    </row>
    <row r="8" spans="1:8" ht="16" customHeight="1">
      <c r="A8" s="10"/>
      <c r="B8" s="10" t="s">
        <v>13</v>
      </c>
      <c r="C8" s="10" t="s">
        <v>172</v>
      </c>
      <c r="D8" s="11"/>
      <c r="E8" s="11"/>
      <c r="F8" s="11"/>
      <c r="G8" s="12"/>
    </row>
    <row r="9" spans="1:8" ht="16" customHeight="1">
      <c r="A9" s="10"/>
      <c r="B9" s="10" t="s">
        <v>14</v>
      </c>
      <c r="C9" s="10" t="s">
        <v>172</v>
      </c>
      <c r="D9" s="11"/>
      <c r="E9" s="11"/>
      <c r="F9" s="11"/>
      <c r="G9" s="12"/>
    </row>
    <row r="10" spans="1:8" ht="16" customHeight="1">
      <c r="A10" s="10"/>
      <c r="B10" s="10" t="s">
        <v>15</v>
      </c>
      <c r="C10" s="10" t="s">
        <v>172</v>
      </c>
      <c r="D10" s="11"/>
      <c r="E10" s="11"/>
      <c r="F10" s="11"/>
      <c r="G10" s="12"/>
      <c r="H10" s="101" t="s">
        <v>167</v>
      </c>
    </row>
    <row r="11" spans="1:8" ht="16" customHeight="1">
      <c r="A11" s="10"/>
      <c r="B11" s="10" t="s">
        <v>16</v>
      </c>
      <c r="C11" s="10" t="s">
        <v>172</v>
      </c>
      <c r="D11" s="11"/>
      <c r="E11" s="11"/>
      <c r="F11" s="11"/>
      <c r="G11" s="12"/>
    </row>
    <row r="12" spans="1:8" ht="16" customHeight="1">
      <c r="A12" s="10"/>
      <c r="B12" s="10" t="s">
        <v>17</v>
      </c>
      <c r="C12" s="10" t="s">
        <v>172</v>
      </c>
      <c r="D12" s="11"/>
      <c r="E12" s="11"/>
      <c r="F12" s="11"/>
      <c r="G12" s="12"/>
    </row>
    <row r="13" spans="1:8" ht="16" customHeight="1">
      <c r="A13" s="10"/>
      <c r="B13" s="10" t="s">
        <v>18</v>
      </c>
      <c r="C13" s="10" t="s">
        <v>172</v>
      </c>
      <c r="D13" s="11"/>
      <c r="E13" s="11"/>
      <c r="F13" s="11"/>
      <c r="G13" s="12"/>
    </row>
    <row r="14" spans="1:8" ht="18" customHeight="1">
      <c r="A14" s="8"/>
      <c r="B14" s="7" t="s">
        <v>19</v>
      </c>
      <c r="C14" s="8"/>
      <c r="D14" s="13"/>
      <c r="E14" s="13"/>
      <c r="F14" s="13">
        <f>SUM(F15:F17)</f>
        <v>0</v>
      </c>
      <c r="G14" s="8"/>
    </row>
    <row r="15" spans="1:8" ht="16" customHeight="1">
      <c r="A15" s="10"/>
      <c r="B15" s="10" t="s">
        <v>173</v>
      </c>
      <c r="C15" s="10" t="s">
        <v>172</v>
      </c>
      <c r="D15" s="11"/>
      <c r="E15" s="11"/>
      <c r="F15" s="11"/>
      <c r="G15" s="12"/>
    </row>
    <row r="16" spans="1:8" ht="16" customHeight="1">
      <c r="A16" s="10"/>
      <c r="B16" s="10" t="s">
        <v>20</v>
      </c>
      <c r="C16" s="10" t="s">
        <v>172</v>
      </c>
      <c r="D16" s="11"/>
      <c r="E16" s="14"/>
      <c r="F16" s="11"/>
      <c r="G16" s="15"/>
    </row>
    <row r="17" spans="1:8" ht="16" customHeight="1">
      <c r="A17" s="10"/>
      <c r="C17" s="10"/>
      <c r="D17" s="11"/>
      <c r="E17" s="14"/>
      <c r="F17" s="11"/>
      <c r="G17" s="15"/>
    </row>
    <row r="18" spans="1:8" ht="18" customHeight="1">
      <c r="A18" s="8"/>
      <c r="B18" s="7" t="s">
        <v>21</v>
      </c>
      <c r="C18" s="8"/>
      <c r="D18" s="13"/>
      <c r="E18" s="13"/>
      <c r="F18" s="13">
        <f>SUM(F19:F22)</f>
        <v>0</v>
      </c>
      <c r="G18" s="8"/>
    </row>
    <row r="19" spans="1:8" ht="16" customHeight="1">
      <c r="A19" s="10"/>
      <c r="B19" s="10" t="s">
        <v>174</v>
      </c>
      <c r="C19" s="10" t="s">
        <v>172</v>
      </c>
      <c r="D19" s="11"/>
      <c r="E19" s="11"/>
      <c r="F19" s="11"/>
      <c r="G19" s="12"/>
      <c r="H19" s="101" t="s">
        <v>165</v>
      </c>
    </row>
    <row r="20" spans="1:8" ht="16" customHeight="1">
      <c r="A20" s="10"/>
      <c r="B20" s="10" t="s">
        <v>22</v>
      </c>
      <c r="C20" s="10" t="s">
        <v>172</v>
      </c>
      <c r="D20" s="11"/>
      <c r="E20" s="11"/>
      <c r="F20" s="11"/>
      <c r="G20" s="12"/>
    </row>
    <row r="21" spans="1:8" ht="16" customHeight="1">
      <c r="A21" s="10"/>
      <c r="B21" s="10" t="s">
        <v>106</v>
      </c>
      <c r="C21" s="10" t="s">
        <v>172</v>
      </c>
      <c r="D21" s="11"/>
      <c r="E21" s="11"/>
      <c r="F21" s="11"/>
      <c r="G21" s="12"/>
    </row>
    <row r="22" spans="1:8" ht="16" customHeight="1">
      <c r="A22" s="10"/>
      <c r="C22" s="10"/>
      <c r="D22" s="11"/>
      <c r="E22" s="11"/>
      <c r="F22" s="11"/>
      <c r="G22" s="12"/>
    </row>
    <row r="23" spans="1:8" ht="18" customHeight="1">
      <c r="A23" s="8"/>
      <c r="B23" s="7" t="s">
        <v>23</v>
      </c>
      <c r="C23" s="8"/>
      <c r="D23" s="13"/>
      <c r="E23" s="13"/>
      <c r="F23" s="13">
        <f>SUM(F24:F26)</f>
        <v>0</v>
      </c>
      <c r="G23" s="8"/>
    </row>
    <row r="24" spans="1:8" ht="16" customHeight="1">
      <c r="A24" s="10"/>
      <c r="B24" s="10" t="s">
        <v>24</v>
      </c>
      <c r="C24" s="10" t="s">
        <v>172</v>
      </c>
      <c r="D24" s="11"/>
      <c r="E24" s="11"/>
      <c r="F24" s="11"/>
      <c r="G24" s="12"/>
    </row>
    <row r="25" spans="1:8" ht="16" customHeight="1">
      <c r="A25" s="10"/>
      <c r="B25" s="10" t="s">
        <v>25</v>
      </c>
      <c r="C25" s="10" t="s">
        <v>172</v>
      </c>
      <c r="D25" s="11"/>
      <c r="E25" s="11"/>
      <c r="F25" s="11"/>
      <c r="G25" s="12"/>
    </row>
    <row r="26" spans="1:8" ht="16" customHeight="1">
      <c r="A26" s="10"/>
      <c r="B26" s="10" t="s">
        <v>26</v>
      </c>
      <c r="C26" s="10" t="s">
        <v>172</v>
      </c>
      <c r="D26" s="11"/>
      <c r="E26" s="11"/>
      <c r="F26" s="11"/>
      <c r="G26" s="12"/>
    </row>
    <row r="27" spans="1:8" ht="18" customHeight="1">
      <c r="A27" s="8"/>
      <c r="B27" s="7" t="s">
        <v>27</v>
      </c>
      <c r="C27" s="8"/>
      <c r="D27" s="13"/>
      <c r="E27" s="13"/>
      <c r="F27" s="13">
        <f>SUM(F28:F29)</f>
        <v>0</v>
      </c>
      <c r="G27" s="8"/>
    </row>
    <row r="28" spans="1:8" ht="16" customHeight="1">
      <c r="A28" s="10"/>
      <c r="B28" s="10" t="s">
        <v>24</v>
      </c>
      <c r="C28" s="10" t="s">
        <v>172</v>
      </c>
      <c r="D28" s="11"/>
      <c r="E28" s="14"/>
      <c r="F28" s="11"/>
      <c r="G28" s="15"/>
    </row>
    <row r="29" spans="1:8" ht="16" customHeight="1">
      <c r="A29" s="10"/>
      <c r="B29" s="10" t="s">
        <v>25</v>
      </c>
      <c r="C29" s="10" t="s">
        <v>172</v>
      </c>
      <c r="D29" s="11"/>
      <c r="E29" s="14"/>
      <c r="F29" s="11"/>
      <c r="G29" s="12"/>
    </row>
    <row r="30" spans="1:8" ht="18" customHeight="1">
      <c r="A30" s="8"/>
      <c r="B30" s="7" t="s">
        <v>28</v>
      </c>
      <c r="C30" s="8"/>
      <c r="D30" s="13"/>
      <c r="E30" s="13"/>
      <c r="F30" s="13">
        <f>SUM(F31:F33)</f>
        <v>0</v>
      </c>
      <c r="G30" s="8"/>
    </row>
    <row r="31" spans="1:8" ht="16" customHeight="1">
      <c r="A31" s="10"/>
      <c r="B31" s="10" t="s">
        <v>24</v>
      </c>
      <c r="C31" s="10" t="s">
        <v>172</v>
      </c>
      <c r="D31" s="16"/>
      <c r="E31" s="16"/>
      <c r="F31" s="11"/>
      <c r="G31" s="10"/>
    </row>
    <row r="32" spans="1:8" ht="16" customHeight="1">
      <c r="A32" s="10"/>
      <c r="B32" s="10" t="s">
        <v>25</v>
      </c>
      <c r="C32" s="10" t="s">
        <v>172</v>
      </c>
      <c r="D32" s="16"/>
      <c r="E32" s="16"/>
      <c r="F32" s="11"/>
      <c r="G32" s="10"/>
    </row>
    <row r="33" spans="1:8" ht="16" customHeight="1">
      <c r="A33" s="10"/>
      <c r="B33" s="10" t="s">
        <v>26</v>
      </c>
      <c r="C33" s="10" t="s">
        <v>172</v>
      </c>
      <c r="D33" s="16"/>
      <c r="E33" s="16"/>
      <c r="F33" s="11"/>
      <c r="G33" s="10"/>
    </row>
    <row r="34" spans="1:8" ht="18" customHeight="1" thickBot="1">
      <c r="A34" s="17"/>
      <c r="B34" s="18" t="s">
        <v>29</v>
      </c>
      <c r="C34" s="17"/>
      <c r="D34" s="19"/>
      <c r="E34" s="19"/>
      <c r="F34" s="20">
        <f>F5+F14+F18+F23+F27+F30</f>
        <v>0</v>
      </c>
      <c r="G34" s="17"/>
    </row>
    <row r="35" spans="1:8" ht="22.5" customHeight="1" thickBot="1">
      <c r="A35" s="21" t="s">
        <v>30</v>
      </c>
      <c r="B35" s="22" t="s">
        <v>104</v>
      </c>
      <c r="C35" s="22"/>
    </row>
    <row r="36" spans="1:8" ht="18" customHeight="1">
      <c r="A36" s="23" t="s">
        <v>31</v>
      </c>
      <c r="B36" s="23" t="s">
        <v>32</v>
      </c>
      <c r="C36" s="23" t="s">
        <v>33</v>
      </c>
      <c r="D36" s="23" t="s">
        <v>34</v>
      </c>
      <c r="E36" s="23" t="s">
        <v>35</v>
      </c>
      <c r="F36" s="23" t="s">
        <v>36</v>
      </c>
      <c r="G36" s="23" t="s">
        <v>37</v>
      </c>
    </row>
    <row r="37" spans="1:8" ht="18" customHeight="1">
      <c r="A37" s="24"/>
      <c r="B37" s="25" t="s">
        <v>38</v>
      </c>
      <c r="C37" s="24"/>
      <c r="D37" s="24"/>
      <c r="E37" s="24"/>
      <c r="F37" s="26">
        <f>SUM(F38:F40)</f>
        <v>0</v>
      </c>
      <c r="G37" s="24"/>
    </row>
    <row r="38" spans="1:8" ht="18" customHeight="1">
      <c r="A38" s="27"/>
      <c r="B38" s="28" t="s">
        <v>39</v>
      </c>
      <c r="C38" s="28" t="s">
        <v>40</v>
      </c>
      <c r="D38" s="29"/>
      <c r="E38" s="29"/>
      <c r="F38" s="11"/>
      <c r="G38" s="28"/>
    </row>
    <row r="39" spans="1:8" ht="18" customHeight="1">
      <c r="A39" s="27"/>
      <c r="B39" s="28" t="s">
        <v>175</v>
      </c>
      <c r="C39" s="28" t="s">
        <v>41</v>
      </c>
      <c r="D39" s="29"/>
      <c r="E39" s="29"/>
      <c r="F39" s="11"/>
      <c r="G39" s="28"/>
      <c r="H39" s="101" t="s">
        <v>166</v>
      </c>
    </row>
    <row r="40" spans="1:8" ht="18" customHeight="1">
      <c r="A40" s="27"/>
      <c r="B40" s="28"/>
      <c r="C40" s="28"/>
      <c r="D40" s="29"/>
      <c r="E40" s="29"/>
      <c r="F40" s="11"/>
      <c r="G40" s="28"/>
    </row>
    <row r="41" spans="1:8" ht="17.149999999999999" customHeight="1">
      <c r="A41" s="30"/>
      <c r="B41" s="31" t="s">
        <v>42</v>
      </c>
      <c r="C41" s="30"/>
      <c r="D41" s="30"/>
      <c r="E41" s="32"/>
      <c r="F41" s="32"/>
      <c r="G41" s="30"/>
    </row>
    <row r="42" spans="1:8" ht="17.149999999999999" customHeight="1">
      <c r="A42" s="10"/>
      <c r="B42" s="10" t="s">
        <v>43</v>
      </c>
      <c r="C42" s="10" t="s">
        <v>41</v>
      </c>
      <c r="D42" s="10"/>
      <c r="E42" s="33"/>
      <c r="F42" s="11"/>
      <c r="G42" s="10"/>
    </row>
    <row r="43" spans="1:8" ht="16" customHeight="1">
      <c r="A43" s="10"/>
      <c r="B43" s="10" t="s">
        <v>44</v>
      </c>
      <c r="C43" s="10" t="s">
        <v>41</v>
      </c>
      <c r="D43" s="12"/>
      <c r="E43" s="11"/>
      <c r="F43" s="11"/>
      <c r="G43" s="12"/>
    </row>
    <row r="44" spans="1:8" ht="16" customHeight="1">
      <c r="A44" s="10"/>
      <c r="B44" s="10" t="s">
        <v>45</v>
      </c>
      <c r="C44" s="10" t="s">
        <v>41</v>
      </c>
      <c r="D44" s="12"/>
      <c r="E44" s="11"/>
      <c r="F44" s="11"/>
      <c r="G44" s="12"/>
    </row>
    <row r="45" spans="1:8" ht="16" customHeight="1">
      <c r="A45" s="30"/>
      <c r="B45" s="31" t="s">
        <v>46</v>
      </c>
      <c r="C45" s="30"/>
      <c r="D45" s="30"/>
      <c r="E45" s="32"/>
      <c r="F45" s="32"/>
      <c r="G45" s="30"/>
    </row>
    <row r="46" spans="1:8" ht="16" customHeight="1">
      <c r="A46" s="10"/>
      <c r="B46" s="10" t="s">
        <v>47</v>
      </c>
      <c r="C46" s="10" t="s">
        <v>41</v>
      </c>
      <c r="D46" s="12"/>
      <c r="E46" s="11"/>
      <c r="F46" s="11"/>
      <c r="G46" s="12"/>
    </row>
    <row r="47" spans="1:8" ht="16" customHeight="1">
      <c r="A47" s="10"/>
      <c r="B47" s="10" t="s">
        <v>48</v>
      </c>
      <c r="C47" s="10" t="s">
        <v>41</v>
      </c>
      <c r="D47" s="12"/>
      <c r="E47" s="11"/>
      <c r="F47" s="11"/>
      <c r="G47" s="12"/>
    </row>
    <row r="48" spans="1:8" ht="16" customHeight="1">
      <c r="A48" s="30"/>
      <c r="B48" s="31" t="s">
        <v>49</v>
      </c>
      <c r="C48" s="30"/>
      <c r="D48" s="30"/>
      <c r="E48" s="32"/>
      <c r="F48" s="32"/>
      <c r="G48" s="30"/>
    </row>
    <row r="49" spans="1:7" ht="16" customHeight="1">
      <c r="A49" s="10"/>
      <c r="B49" s="10" t="s">
        <v>47</v>
      </c>
      <c r="C49" s="10" t="s">
        <v>41</v>
      </c>
      <c r="D49" s="12"/>
      <c r="E49" s="11"/>
      <c r="F49" s="11"/>
      <c r="G49" s="12"/>
    </row>
    <row r="50" spans="1:7" ht="16" customHeight="1">
      <c r="A50" s="10"/>
      <c r="B50" s="10" t="s">
        <v>44</v>
      </c>
      <c r="C50" s="10" t="s">
        <v>41</v>
      </c>
      <c r="D50" s="12"/>
      <c r="E50" s="11"/>
      <c r="F50" s="11"/>
      <c r="G50" s="12"/>
    </row>
    <row r="51" spans="1:7" ht="16" customHeight="1">
      <c r="A51" s="10"/>
      <c r="B51" s="10" t="s">
        <v>48</v>
      </c>
      <c r="C51" s="10" t="s">
        <v>41</v>
      </c>
      <c r="D51" s="12"/>
      <c r="E51" s="11"/>
      <c r="F51" s="11"/>
      <c r="G51" s="12"/>
    </row>
    <row r="52" spans="1:7" ht="16" customHeight="1">
      <c r="A52" s="30"/>
      <c r="B52" s="31" t="s">
        <v>182</v>
      </c>
      <c r="C52" s="30"/>
      <c r="D52" s="30"/>
      <c r="E52" s="32"/>
      <c r="F52" s="32"/>
      <c r="G52" s="30"/>
    </row>
    <row r="53" spans="1:7" ht="16" customHeight="1">
      <c r="A53" s="62"/>
      <c r="B53" s="62" t="s">
        <v>183</v>
      </c>
      <c r="C53" s="62" t="s">
        <v>224</v>
      </c>
      <c r="D53" s="87"/>
      <c r="E53" s="88"/>
      <c r="F53" s="88"/>
      <c r="G53" s="87"/>
    </row>
    <row r="54" spans="1:7" ht="16" customHeight="1">
      <c r="A54" s="30"/>
      <c r="B54" s="31" t="s">
        <v>184</v>
      </c>
      <c r="C54" s="30"/>
      <c r="D54" s="30"/>
      <c r="E54" s="32"/>
      <c r="F54" s="32"/>
      <c r="G54" s="30"/>
    </row>
    <row r="55" spans="1:7" ht="16" customHeight="1">
      <c r="A55" s="62"/>
      <c r="B55" s="62" t="s">
        <v>183</v>
      </c>
      <c r="C55" s="62" t="s">
        <v>224</v>
      </c>
      <c r="D55" s="87"/>
      <c r="E55" s="88"/>
      <c r="F55" s="88"/>
      <c r="G55" s="87"/>
    </row>
    <row r="56" spans="1:7" ht="18" customHeight="1" thickBot="1">
      <c r="A56" s="34"/>
      <c r="B56" s="35" t="s">
        <v>163</v>
      </c>
      <c r="C56" s="34"/>
      <c r="D56" s="34"/>
      <c r="E56" s="34"/>
      <c r="F56" s="36"/>
      <c r="G56" s="34"/>
    </row>
    <row r="57" spans="1:7" ht="18" customHeight="1">
      <c r="B57" s="37"/>
      <c r="F57" s="38"/>
    </row>
    <row r="58" spans="1:7" ht="18" customHeight="1"/>
    <row r="59" spans="1:7" ht="18" customHeight="1">
      <c r="D59" s="127" t="s">
        <v>54</v>
      </c>
      <c r="E59" s="127"/>
      <c r="F59" s="127"/>
      <c r="G59" s="127"/>
    </row>
    <row r="60" spans="1:7" ht="18" customHeight="1">
      <c r="A60" s="128" t="s">
        <v>55</v>
      </c>
      <c r="B60" s="128"/>
      <c r="C60" s="128"/>
      <c r="D60" s="128" t="s">
        <v>56</v>
      </c>
      <c r="E60" s="128"/>
      <c r="F60" s="128"/>
      <c r="G60" s="128"/>
    </row>
    <row r="61" spans="1:7" ht="18" customHeight="1"/>
    <row r="62" spans="1:7" ht="18" customHeight="1"/>
    <row r="63" spans="1:7" ht="18" customHeight="1"/>
    <row r="64" spans="1:7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4">
    <mergeCell ref="A1:G1"/>
    <mergeCell ref="D59:G59"/>
    <mergeCell ref="A60:C60"/>
    <mergeCell ref="D60:G60"/>
  </mergeCells>
  <printOptions horizontalCentered="1"/>
  <pageMargins left="0.5" right="0.25" top="0.59055118110236204" bottom="0.78740157480314998" header="0.511811023622047" footer="0.511811023622047"/>
  <pageSetup paperSize="9" orientation="portrait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270B-CB40-4D38-BBCB-2475F0F5F190}">
  <dimension ref="A1:T28"/>
  <sheetViews>
    <sheetView zoomScale="60" zoomScaleNormal="60" workbookViewId="0">
      <selection activeCell="O18" sqref="O18"/>
    </sheetView>
  </sheetViews>
  <sheetFormatPr defaultRowHeight="14"/>
  <cols>
    <col min="1" max="1" width="4.5" bestFit="1" customWidth="1"/>
    <col min="2" max="2" width="5.1640625" bestFit="1" customWidth="1"/>
    <col min="3" max="3" width="22.4140625" bestFit="1" customWidth="1"/>
    <col min="4" max="4" width="10.33203125" customWidth="1"/>
    <col min="5" max="8" width="14.5" customWidth="1"/>
    <col min="9" max="9" width="19.08203125" customWidth="1"/>
    <col min="10" max="13" width="14.33203125" customWidth="1"/>
    <col min="14" max="14" width="18.9140625" customWidth="1"/>
    <col min="15" max="18" width="13" customWidth="1"/>
    <col min="19" max="19" width="17.58203125" customWidth="1"/>
    <col min="20" max="20" width="8.6640625" customWidth="1"/>
  </cols>
  <sheetData>
    <row r="1" spans="1:20">
      <c r="A1" s="122" t="s">
        <v>209</v>
      </c>
      <c r="B1" s="122" t="s">
        <v>251</v>
      </c>
      <c r="C1" s="122" t="s">
        <v>187</v>
      </c>
      <c r="D1" s="122" t="s">
        <v>273</v>
      </c>
      <c r="E1" s="122" t="s">
        <v>264</v>
      </c>
      <c r="F1" s="122" t="s">
        <v>265</v>
      </c>
      <c r="G1" s="122" t="s">
        <v>266</v>
      </c>
      <c r="H1" s="122" t="s">
        <v>267</v>
      </c>
      <c r="I1" s="122" t="s">
        <v>258</v>
      </c>
      <c r="J1" s="122" t="s">
        <v>260</v>
      </c>
      <c r="K1" s="122" t="s">
        <v>261</v>
      </c>
      <c r="L1" s="122" t="s">
        <v>262</v>
      </c>
      <c r="M1" s="122" t="s">
        <v>263</v>
      </c>
      <c r="N1" s="122" t="s">
        <v>259</v>
      </c>
      <c r="O1" s="122" t="s">
        <v>268</v>
      </c>
      <c r="P1" s="122" t="s">
        <v>269</v>
      </c>
      <c r="Q1" s="122" t="s">
        <v>270</v>
      </c>
      <c r="R1" s="122" t="s">
        <v>271</v>
      </c>
      <c r="S1" s="122" t="s">
        <v>272</v>
      </c>
      <c r="T1" s="120"/>
    </row>
    <row r="2" spans="1:20">
      <c r="A2">
        <v>1</v>
      </c>
      <c r="B2">
        <v>2024</v>
      </c>
      <c r="C2" t="s">
        <v>241</v>
      </c>
      <c r="D2" s="121">
        <v>1.3753003872115499</v>
      </c>
      <c r="E2" s="120">
        <v>204</v>
      </c>
      <c r="F2" s="120">
        <v>247</v>
      </c>
      <c r="G2" s="120">
        <v>199</v>
      </c>
      <c r="H2" s="120">
        <v>211</v>
      </c>
      <c r="I2" s="120">
        <v>183</v>
      </c>
      <c r="J2" s="120">
        <v>21</v>
      </c>
      <c r="K2" s="120">
        <v>27</v>
      </c>
      <c r="L2" s="120">
        <v>24</v>
      </c>
      <c r="M2" s="120">
        <v>30</v>
      </c>
      <c r="N2" s="120">
        <v>30</v>
      </c>
      <c r="O2" s="120">
        <v>28</v>
      </c>
      <c r="P2" s="120">
        <v>22</v>
      </c>
      <c r="Q2" s="120">
        <v>28</v>
      </c>
      <c r="R2" s="120">
        <v>30</v>
      </c>
      <c r="S2" s="120">
        <v>25</v>
      </c>
    </row>
    <row r="3" spans="1:20">
      <c r="D3" s="121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</row>
    <row r="4" spans="1:20">
      <c r="D4" s="121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</row>
    <row r="5" spans="1:20">
      <c r="D5" s="121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</row>
    <row r="6" spans="1:20">
      <c r="D6" s="121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</row>
    <row r="7" spans="1:20">
      <c r="D7" s="121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</row>
    <row r="8" spans="1:20"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</row>
    <row r="9" spans="1:20">
      <c r="D9" s="121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</row>
    <row r="10" spans="1:20">
      <c r="D10" s="121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</row>
    <row r="11" spans="1:20">
      <c r="D11" s="121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</row>
    <row r="12" spans="1:20">
      <c r="D12" s="121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</row>
    <row r="13" spans="1:20">
      <c r="D13" s="121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</row>
    <row r="14" spans="1:20">
      <c r="D14" s="121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</row>
    <row r="15" spans="1:20">
      <c r="D15" s="121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</row>
    <row r="16" spans="1:20">
      <c r="D16" s="121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4:19">
      <c r="D17" s="121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</row>
    <row r="18" spans="4:19">
      <c r="D18" s="121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</row>
    <row r="19" spans="4:19">
      <c r="D19" s="121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</row>
    <row r="20" spans="4:19">
      <c r="D20" s="121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</row>
    <row r="21" spans="4:19">
      <c r="D21" s="12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</row>
    <row r="22" spans="4:19">
      <c r="D22" s="121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4:19">
      <c r="D23" s="121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</row>
    <row r="24" spans="4:19">
      <c r="D24" s="121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</row>
    <row r="25" spans="4:19">
      <c r="D25" s="121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</row>
    <row r="26" spans="4:19">
      <c r="D26" s="121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</row>
    <row r="27" spans="4:19">
      <c r="D27" s="121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</row>
    <row r="28" spans="4:19">
      <c r="D28" s="121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2D75-DE48-45F2-B70B-B93E2895EF4E}">
  <dimension ref="A1:J151"/>
  <sheetViews>
    <sheetView zoomScale="80" zoomScaleNormal="80" workbookViewId="0">
      <selection activeCell="G2" sqref="G2"/>
    </sheetView>
  </sheetViews>
  <sheetFormatPr defaultRowHeight="14"/>
  <cols>
    <col min="1" max="1" width="4.6640625" bestFit="1" customWidth="1"/>
    <col min="2" max="2" width="10" customWidth="1"/>
    <col min="3" max="3" width="20.4140625" bestFit="1" customWidth="1"/>
    <col min="4" max="4" width="19.25" bestFit="1" customWidth="1"/>
    <col min="5" max="5" width="24.33203125" bestFit="1" customWidth="1"/>
    <col min="6" max="6" width="27.75" bestFit="1" customWidth="1"/>
    <col min="7" max="7" width="8.33203125" bestFit="1" customWidth="1"/>
    <col min="8" max="8" width="7.83203125" bestFit="1" customWidth="1"/>
    <col min="9" max="9" width="9.9140625" style="116" bestFit="1" customWidth="1"/>
    <col min="10" max="10" width="23.75" bestFit="1" customWidth="1"/>
  </cols>
  <sheetData>
    <row r="1" spans="1:10">
      <c r="A1" s="111" t="s">
        <v>209</v>
      </c>
      <c r="B1" s="111" t="s">
        <v>50</v>
      </c>
      <c r="C1" s="111" t="s">
        <v>187</v>
      </c>
      <c r="D1" s="111" t="s">
        <v>185</v>
      </c>
      <c r="E1" s="111" t="s">
        <v>186</v>
      </c>
      <c r="F1" s="111" t="s">
        <v>188</v>
      </c>
      <c r="G1" s="111" t="s">
        <v>33</v>
      </c>
      <c r="H1" s="111" t="s">
        <v>34</v>
      </c>
      <c r="I1" s="114" t="s">
        <v>35</v>
      </c>
      <c r="J1" s="111" t="s">
        <v>189</v>
      </c>
    </row>
    <row r="2" spans="1:10">
      <c r="A2" s="110">
        <v>1</v>
      </c>
      <c r="B2" s="113">
        <v>45623</v>
      </c>
      <c r="C2" s="110" t="s">
        <v>243</v>
      </c>
      <c r="D2" s="110" t="s">
        <v>192</v>
      </c>
      <c r="E2" s="110" t="s">
        <v>194</v>
      </c>
      <c r="F2" s="10" t="s">
        <v>173</v>
      </c>
      <c r="G2" s="110" t="s">
        <v>172</v>
      </c>
      <c r="H2" s="110">
        <v>4</v>
      </c>
      <c r="I2" s="115">
        <v>64819</v>
      </c>
      <c r="J2" s="117">
        <f>H2*I2</f>
        <v>259276</v>
      </c>
    </row>
    <row r="3" spans="1:10">
      <c r="A3" s="110"/>
      <c r="B3" s="113"/>
      <c r="C3" s="110"/>
      <c r="D3" s="110"/>
      <c r="E3" s="110"/>
      <c r="F3" s="110"/>
      <c r="G3" s="110"/>
      <c r="H3" s="110"/>
      <c r="I3" s="115"/>
      <c r="J3" s="117"/>
    </row>
    <row r="4" spans="1:10">
      <c r="A4" s="110"/>
      <c r="B4" s="113"/>
      <c r="C4" s="110"/>
      <c r="D4" s="110"/>
      <c r="E4" s="110"/>
      <c r="F4" s="10"/>
      <c r="G4" s="110"/>
      <c r="H4" s="110"/>
      <c r="I4" s="115"/>
      <c r="J4" s="117"/>
    </row>
    <row r="5" spans="1:10">
      <c r="A5" s="110"/>
      <c r="B5" s="113"/>
      <c r="C5" s="110"/>
      <c r="D5" s="110"/>
      <c r="E5" s="110"/>
      <c r="F5" s="110"/>
      <c r="G5" s="110"/>
      <c r="H5" s="110"/>
      <c r="I5" s="115"/>
      <c r="J5" s="117"/>
    </row>
    <row r="6" spans="1:10">
      <c r="A6" s="110"/>
      <c r="B6" s="113"/>
      <c r="C6" s="110"/>
      <c r="D6" s="110"/>
      <c r="E6" s="110"/>
      <c r="F6" s="10"/>
      <c r="G6" s="110"/>
      <c r="H6" s="110"/>
      <c r="I6" s="115"/>
      <c r="J6" s="117"/>
    </row>
    <row r="7" spans="1:10">
      <c r="A7" s="110"/>
      <c r="B7" s="113"/>
      <c r="C7" s="110"/>
      <c r="D7" s="110"/>
      <c r="E7" s="110"/>
      <c r="F7" s="10"/>
      <c r="G7" s="110"/>
      <c r="H7" s="110"/>
      <c r="I7" s="115"/>
      <c r="J7" s="117"/>
    </row>
    <row r="8" spans="1:10">
      <c r="A8" s="110"/>
      <c r="B8" s="113"/>
      <c r="C8" s="110"/>
      <c r="D8" s="110"/>
      <c r="E8" s="110"/>
      <c r="F8" s="110"/>
      <c r="G8" s="110"/>
      <c r="H8" s="110"/>
      <c r="I8" s="115"/>
      <c r="J8" s="117"/>
    </row>
    <row r="9" spans="1:10">
      <c r="A9" s="110"/>
      <c r="B9" s="113"/>
      <c r="C9" s="110"/>
      <c r="D9" s="110"/>
      <c r="E9" s="110"/>
      <c r="F9" s="10"/>
      <c r="G9" s="110"/>
      <c r="H9" s="110"/>
      <c r="I9" s="115"/>
      <c r="J9" s="117"/>
    </row>
    <row r="10" spans="1:10">
      <c r="A10" s="110"/>
      <c r="B10" s="113"/>
      <c r="C10" s="110"/>
      <c r="D10" s="110"/>
      <c r="E10" s="110"/>
      <c r="F10" s="110"/>
      <c r="G10" s="110"/>
      <c r="H10" s="110"/>
      <c r="I10" s="115"/>
      <c r="J10" s="117"/>
    </row>
    <row r="11" spans="1:10">
      <c r="A11" s="110"/>
      <c r="B11" s="113"/>
      <c r="C11" s="110"/>
      <c r="D11" s="110"/>
      <c r="E11" s="110"/>
      <c r="F11" s="10"/>
      <c r="G11" s="110"/>
      <c r="H11" s="110"/>
      <c r="I11" s="115"/>
      <c r="J11" s="117"/>
    </row>
    <row r="12" spans="1:10">
      <c r="A12" s="110"/>
      <c r="B12" s="113"/>
      <c r="C12" s="110"/>
      <c r="D12" s="110"/>
      <c r="E12" s="110"/>
      <c r="F12" s="110"/>
      <c r="G12" s="110"/>
      <c r="H12" s="110"/>
      <c r="I12" s="115"/>
      <c r="J12" s="117"/>
    </row>
    <row r="13" spans="1:10">
      <c r="A13" s="110"/>
      <c r="B13" s="113"/>
      <c r="C13" s="110"/>
      <c r="D13" s="110"/>
      <c r="E13" s="110"/>
      <c r="F13" s="110"/>
      <c r="G13" s="110"/>
      <c r="H13" s="110"/>
      <c r="I13" s="115"/>
      <c r="J13" s="117"/>
    </row>
    <row r="14" spans="1:10">
      <c r="A14" s="110"/>
      <c r="B14" s="113"/>
      <c r="C14" s="110"/>
      <c r="D14" s="110"/>
      <c r="E14" s="110"/>
      <c r="F14" s="10"/>
      <c r="G14" s="110"/>
      <c r="H14" s="110"/>
      <c r="I14" s="115"/>
      <c r="J14" s="117"/>
    </row>
    <row r="15" spans="1:10">
      <c r="A15" s="110"/>
      <c r="B15" s="113"/>
      <c r="C15" s="110"/>
      <c r="D15" s="110"/>
      <c r="E15" s="110"/>
      <c r="F15" s="10"/>
      <c r="G15" s="110"/>
      <c r="H15" s="110"/>
      <c r="I15" s="115"/>
      <c r="J15" s="117"/>
    </row>
    <row r="16" spans="1:10">
      <c r="A16" s="110"/>
      <c r="B16" s="113"/>
      <c r="C16" s="110"/>
      <c r="D16" s="110"/>
      <c r="E16" s="110"/>
      <c r="F16" s="110"/>
      <c r="G16" s="110"/>
      <c r="H16" s="110"/>
      <c r="I16" s="115"/>
      <c r="J16" s="117"/>
    </row>
    <row r="17" spans="1:10">
      <c r="A17" s="110"/>
      <c r="B17" s="113"/>
      <c r="C17" s="110"/>
      <c r="D17" s="110"/>
      <c r="E17" s="110"/>
      <c r="F17" s="28"/>
      <c r="G17" s="110"/>
      <c r="H17" s="110"/>
      <c r="I17" s="115"/>
      <c r="J17" s="117"/>
    </row>
    <row r="18" spans="1:10">
      <c r="A18" s="110"/>
      <c r="B18" s="113"/>
      <c r="C18" s="110"/>
      <c r="D18" s="110"/>
      <c r="E18" s="110"/>
      <c r="F18" s="110"/>
      <c r="G18" s="110"/>
      <c r="H18" s="110"/>
      <c r="I18" s="115"/>
      <c r="J18" s="117"/>
    </row>
    <row r="19" spans="1:10">
      <c r="A19" s="110"/>
      <c r="B19" s="113"/>
      <c r="C19" s="110"/>
      <c r="D19" s="110"/>
      <c r="E19" s="110"/>
      <c r="F19" s="10"/>
      <c r="G19" s="110"/>
      <c r="H19" s="110"/>
      <c r="I19" s="115"/>
      <c r="J19" s="117"/>
    </row>
    <row r="20" spans="1:10">
      <c r="A20" s="110"/>
      <c r="B20" s="113"/>
      <c r="C20" s="110"/>
      <c r="D20" s="110"/>
      <c r="E20" s="110"/>
      <c r="F20" s="10"/>
      <c r="G20" s="110"/>
      <c r="H20" s="110"/>
      <c r="I20" s="115"/>
      <c r="J20" s="117"/>
    </row>
    <row r="21" spans="1:10">
      <c r="A21" s="110"/>
      <c r="B21" s="113"/>
      <c r="C21" s="110"/>
      <c r="D21" s="110"/>
      <c r="E21" s="110"/>
      <c r="F21" s="10"/>
      <c r="G21" s="110"/>
      <c r="H21" s="110"/>
      <c r="I21" s="115"/>
      <c r="J21" s="117"/>
    </row>
    <row r="22" spans="1:10">
      <c r="A22" s="110"/>
      <c r="B22" s="113"/>
      <c r="C22" s="110"/>
      <c r="D22" s="110"/>
      <c r="E22" s="110"/>
      <c r="F22" s="10"/>
      <c r="G22" s="110"/>
      <c r="H22" s="110"/>
      <c r="I22" s="115"/>
      <c r="J22" s="117"/>
    </row>
    <row r="23" spans="1:10">
      <c r="A23" s="110"/>
      <c r="B23" s="113"/>
      <c r="C23" s="110"/>
      <c r="D23" s="110"/>
      <c r="E23" s="110"/>
      <c r="F23" s="28"/>
      <c r="G23" s="110"/>
      <c r="H23" s="110"/>
      <c r="I23" s="115"/>
      <c r="J23" s="117"/>
    </row>
    <row r="24" spans="1:10">
      <c r="A24" s="110"/>
      <c r="B24" s="113"/>
      <c r="C24" s="110"/>
      <c r="D24" s="110"/>
      <c r="E24" s="110"/>
      <c r="F24" s="110"/>
      <c r="G24" s="110"/>
      <c r="H24" s="110"/>
      <c r="I24" s="115"/>
      <c r="J24" s="117"/>
    </row>
    <row r="25" spans="1:10">
      <c r="A25" s="110"/>
      <c r="B25" s="113"/>
      <c r="C25" s="110"/>
      <c r="D25" s="110"/>
      <c r="E25" s="110"/>
      <c r="F25" s="10"/>
      <c r="G25" s="110"/>
      <c r="H25" s="110"/>
      <c r="I25" s="115"/>
      <c r="J25" s="117"/>
    </row>
    <row r="26" spans="1:10">
      <c r="A26" s="110"/>
      <c r="B26" s="113"/>
      <c r="C26" s="110"/>
      <c r="D26" s="110"/>
      <c r="E26" s="110"/>
      <c r="F26" s="110"/>
      <c r="G26" s="110"/>
      <c r="H26" s="110"/>
      <c r="I26" s="115"/>
      <c r="J26" s="117"/>
    </row>
    <row r="27" spans="1:10">
      <c r="A27" s="110"/>
      <c r="B27" s="113"/>
      <c r="C27" s="110"/>
      <c r="D27" s="110"/>
      <c r="E27" s="110"/>
      <c r="F27" s="10"/>
      <c r="G27" s="110"/>
      <c r="H27" s="110"/>
      <c r="I27" s="115"/>
      <c r="J27" s="117"/>
    </row>
    <row r="28" spans="1:10">
      <c r="A28" s="110"/>
      <c r="B28" s="113"/>
      <c r="C28" s="110"/>
      <c r="D28" s="110"/>
      <c r="E28" s="110"/>
      <c r="F28" s="110"/>
      <c r="G28" s="110"/>
      <c r="H28" s="110"/>
      <c r="I28" s="115"/>
      <c r="J28" s="117"/>
    </row>
    <row r="29" spans="1:10">
      <c r="A29" s="110"/>
      <c r="B29" s="113"/>
      <c r="C29" s="110"/>
      <c r="D29" s="110"/>
      <c r="E29" s="110"/>
      <c r="F29" s="10"/>
      <c r="G29" s="110"/>
      <c r="H29" s="110"/>
      <c r="I29" s="115"/>
      <c r="J29" s="117"/>
    </row>
    <row r="30" spans="1:10">
      <c r="A30" s="110"/>
      <c r="B30" s="113"/>
      <c r="C30" s="110"/>
      <c r="D30" s="110"/>
      <c r="E30" s="110"/>
      <c r="F30" s="110"/>
      <c r="G30" s="110"/>
      <c r="H30" s="110"/>
      <c r="I30" s="115"/>
      <c r="J30" s="117"/>
    </row>
    <row r="31" spans="1:10">
      <c r="A31" s="110"/>
      <c r="B31" s="113"/>
      <c r="C31" s="110"/>
      <c r="D31" s="110"/>
      <c r="E31" s="110"/>
      <c r="F31" s="10"/>
      <c r="G31" s="110"/>
      <c r="H31" s="110"/>
      <c r="I31" s="115"/>
      <c r="J31" s="117"/>
    </row>
    <row r="32" spans="1:10">
      <c r="A32" s="110"/>
      <c r="B32" s="113"/>
      <c r="C32" s="110"/>
      <c r="D32" s="110"/>
      <c r="E32" s="110"/>
      <c r="F32" s="110"/>
      <c r="G32" s="110"/>
      <c r="H32" s="110"/>
      <c r="I32" s="115"/>
      <c r="J32" s="117"/>
    </row>
    <row r="33" spans="1:10">
      <c r="A33" s="110"/>
      <c r="B33" s="113"/>
      <c r="C33" s="110"/>
      <c r="D33" s="110"/>
      <c r="E33" s="110"/>
      <c r="F33" s="10"/>
      <c r="G33" s="110"/>
      <c r="H33" s="110"/>
      <c r="I33" s="115"/>
      <c r="J33" s="117"/>
    </row>
    <row r="34" spans="1:10">
      <c r="A34" s="110"/>
      <c r="B34" s="113"/>
      <c r="C34" s="110"/>
      <c r="D34" s="110"/>
      <c r="E34" s="110"/>
      <c r="F34" s="110"/>
      <c r="G34" s="110"/>
      <c r="H34" s="110"/>
      <c r="I34" s="115"/>
      <c r="J34" s="117"/>
    </row>
    <row r="35" spans="1:10">
      <c r="A35" s="110"/>
      <c r="B35" s="113"/>
      <c r="C35" s="110"/>
      <c r="D35" s="110"/>
      <c r="E35" s="110"/>
      <c r="F35" s="110"/>
      <c r="G35" s="110"/>
      <c r="H35" s="110"/>
      <c r="I35" s="115"/>
      <c r="J35" s="117"/>
    </row>
    <row r="36" spans="1:10">
      <c r="A36" s="110"/>
      <c r="B36" s="113"/>
      <c r="C36" s="110"/>
      <c r="D36" s="110"/>
      <c r="E36" s="110"/>
      <c r="F36" s="10"/>
      <c r="G36" s="110"/>
      <c r="H36" s="110"/>
      <c r="I36" s="115"/>
      <c r="J36" s="117"/>
    </row>
    <row r="37" spans="1:10">
      <c r="A37" s="110"/>
      <c r="B37" s="113"/>
      <c r="C37" s="110"/>
      <c r="D37" s="110"/>
      <c r="E37" s="110"/>
      <c r="F37" s="10"/>
      <c r="G37" s="110"/>
      <c r="H37" s="110"/>
      <c r="I37" s="115"/>
      <c r="J37" s="117"/>
    </row>
    <row r="38" spans="1:10">
      <c r="A38" s="110"/>
      <c r="B38" s="113"/>
      <c r="C38" s="110"/>
      <c r="D38" s="110"/>
      <c r="E38" s="110"/>
      <c r="F38" s="110"/>
      <c r="G38" s="110"/>
      <c r="H38" s="110"/>
      <c r="I38" s="115"/>
      <c r="J38" s="117"/>
    </row>
    <row r="39" spans="1:10">
      <c r="A39" s="110"/>
      <c r="B39" s="113"/>
      <c r="C39" s="110"/>
      <c r="D39" s="110"/>
      <c r="E39" s="110"/>
      <c r="F39" s="110"/>
      <c r="G39" s="110"/>
      <c r="H39" s="110"/>
      <c r="I39" s="115"/>
      <c r="J39" s="117"/>
    </row>
    <row r="40" spans="1:10">
      <c r="A40" s="110"/>
      <c r="B40" s="113"/>
      <c r="C40" s="110"/>
      <c r="D40" s="110"/>
      <c r="E40" s="110"/>
      <c r="F40" s="28"/>
      <c r="G40" s="110"/>
      <c r="H40" s="110"/>
      <c r="I40" s="115"/>
      <c r="J40" s="117"/>
    </row>
    <row r="41" spans="1:10">
      <c r="A41" s="110"/>
      <c r="B41" s="113"/>
      <c r="C41" s="110"/>
      <c r="D41" s="110"/>
      <c r="E41" s="110"/>
      <c r="F41" s="110"/>
      <c r="G41" s="110"/>
      <c r="H41" s="110"/>
      <c r="I41" s="115"/>
      <c r="J41" s="117"/>
    </row>
    <row r="42" spans="1:10">
      <c r="A42" s="110"/>
      <c r="B42" s="113"/>
      <c r="C42" s="110"/>
      <c r="D42" s="110"/>
      <c r="E42" s="110"/>
      <c r="F42" s="10"/>
      <c r="G42" s="110"/>
      <c r="H42" s="110"/>
      <c r="I42" s="115"/>
      <c r="J42" s="117"/>
    </row>
    <row r="43" spans="1:10">
      <c r="A43" s="110"/>
      <c r="B43" s="113"/>
      <c r="C43" s="110"/>
      <c r="D43" s="110"/>
      <c r="E43" s="110"/>
      <c r="F43" s="110"/>
      <c r="G43" s="110"/>
      <c r="H43" s="110"/>
      <c r="I43" s="115"/>
      <c r="J43" s="117"/>
    </row>
    <row r="44" spans="1:10">
      <c r="A44" s="110"/>
      <c r="B44" s="113"/>
      <c r="C44" s="110"/>
      <c r="D44" s="110"/>
      <c r="E44" s="110"/>
      <c r="F44" s="28"/>
      <c r="G44" s="110"/>
      <c r="H44" s="110"/>
      <c r="I44" s="115"/>
      <c r="J44" s="117"/>
    </row>
    <row r="45" spans="1:10">
      <c r="A45" s="110"/>
      <c r="B45" s="113"/>
      <c r="C45" s="110"/>
      <c r="D45" s="110"/>
      <c r="E45" s="110"/>
      <c r="F45" s="110"/>
      <c r="G45" s="110"/>
      <c r="H45" s="110"/>
      <c r="I45" s="115"/>
      <c r="J45" s="117"/>
    </row>
    <row r="46" spans="1:10">
      <c r="A46" s="110"/>
      <c r="B46" s="113"/>
      <c r="C46" s="110"/>
      <c r="D46" s="110"/>
      <c r="E46" s="110"/>
      <c r="F46" s="110"/>
      <c r="G46" s="110"/>
      <c r="H46" s="110"/>
      <c r="I46" s="115"/>
      <c r="J46" s="117"/>
    </row>
    <row r="47" spans="1:10">
      <c r="A47" s="110"/>
      <c r="B47" s="113"/>
      <c r="C47" s="110"/>
      <c r="D47" s="110"/>
      <c r="E47" s="110"/>
      <c r="F47" s="10"/>
      <c r="G47" s="110"/>
      <c r="H47" s="110"/>
      <c r="I47" s="115"/>
      <c r="J47" s="117"/>
    </row>
    <row r="48" spans="1:10">
      <c r="A48" s="110"/>
      <c r="B48" s="113"/>
      <c r="C48" s="110"/>
      <c r="D48" s="110"/>
      <c r="E48" s="110"/>
      <c r="F48" s="110"/>
      <c r="G48" s="110"/>
      <c r="H48" s="110"/>
      <c r="I48" s="115"/>
      <c r="J48" s="117"/>
    </row>
    <row r="49" spans="1:10">
      <c r="A49" s="110"/>
      <c r="B49" s="113"/>
      <c r="C49" s="110"/>
      <c r="D49" s="110"/>
      <c r="E49" s="110"/>
      <c r="F49" s="28"/>
      <c r="G49" s="110"/>
      <c r="H49" s="110"/>
      <c r="I49" s="115"/>
      <c r="J49" s="117"/>
    </row>
    <row r="50" spans="1:10">
      <c r="A50" s="110"/>
      <c r="B50" s="113"/>
      <c r="C50" s="110"/>
      <c r="D50" s="110"/>
      <c r="E50" s="110"/>
      <c r="F50" s="10"/>
      <c r="G50" s="110"/>
      <c r="H50" s="110"/>
      <c r="I50" s="115"/>
      <c r="J50" s="117"/>
    </row>
    <row r="51" spans="1:10">
      <c r="A51" s="110"/>
      <c r="B51" s="113"/>
      <c r="C51" s="110"/>
      <c r="D51" s="110"/>
      <c r="E51" s="110"/>
      <c r="F51" s="110"/>
      <c r="G51" s="110"/>
      <c r="H51" s="110"/>
      <c r="I51" s="115"/>
      <c r="J51" s="117"/>
    </row>
    <row r="52" spans="1:10">
      <c r="A52" s="110"/>
      <c r="B52" s="113"/>
      <c r="C52" s="110"/>
      <c r="D52" s="110"/>
      <c r="E52" s="110"/>
      <c r="F52" s="110"/>
      <c r="G52" s="110"/>
      <c r="H52" s="110"/>
      <c r="I52" s="115"/>
      <c r="J52" s="117"/>
    </row>
    <row r="53" spans="1:10">
      <c r="A53" s="110"/>
      <c r="B53" s="113"/>
      <c r="C53" s="110"/>
      <c r="D53" s="110"/>
      <c r="E53" s="110"/>
      <c r="F53" s="10"/>
      <c r="G53" s="110"/>
      <c r="H53" s="110"/>
      <c r="I53" s="115"/>
      <c r="J53" s="117"/>
    </row>
    <row r="54" spans="1:10">
      <c r="A54" s="110"/>
      <c r="B54" s="113"/>
      <c r="C54" s="110"/>
      <c r="D54" s="110"/>
      <c r="E54" s="110"/>
      <c r="F54" s="10"/>
      <c r="G54" s="110"/>
      <c r="H54" s="110"/>
      <c r="I54" s="115"/>
      <c r="J54" s="117"/>
    </row>
    <row r="55" spans="1:10">
      <c r="A55" s="110"/>
      <c r="B55" s="113"/>
      <c r="C55" s="110"/>
      <c r="D55" s="110"/>
      <c r="E55" s="110"/>
      <c r="F55" s="110"/>
      <c r="G55" s="110"/>
      <c r="H55" s="110"/>
      <c r="I55" s="115"/>
      <c r="J55" s="117"/>
    </row>
    <row r="56" spans="1:10">
      <c r="A56" s="110"/>
      <c r="B56" s="113"/>
      <c r="C56" s="110"/>
      <c r="D56" s="110"/>
      <c r="E56" s="110"/>
      <c r="F56" s="10"/>
      <c r="G56" s="110"/>
      <c r="H56" s="110"/>
      <c r="I56" s="115"/>
      <c r="J56" s="117"/>
    </row>
    <row r="57" spans="1:10">
      <c r="A57" s="110"/>
      <c r="B57" s="113"/>
      <c r="C57" s="110"/>
      <c r="D57" s="110"/>
      <c r="E57" s="110"/>
      <c r="F57" s="10"/>
      <c r="G57" s="110"/>
      <c r="H57" s="110"/>
      <c r="I57" s="115"/>
      <c r="J57" s="117"/>
    </row>
    <row r="58" spans="1:10">
      <c r="A58" s="110"/>
      <c r="B58" s="113"/>
      <c r="C58" s="110"/>
      <c r="D58" s="110"/>
      <c r="E58" s="110"/>
      <c r="F58" s="10"/>
      <c r="G58" s="110"/>
      <c r="H58" s="110"/>
      <c r="I58" s="115"/>
      <c r="J58" s="117"/>
    </row>
    <row r="59" spans="1:10">
      <c r="A59" s="110"/>
      <c r="B59" s="113"/>
      <c r="C59" s="110"/>
      <c r="D59" s="110"/>
      <c r="E59" s="110"/>
      <c r="F59" s="10"/>
      <c r="G59" s="110"/>
      <c r="H59" s="110"/>
      <c r="I59" s="115"/>
      <c r="J59" s="117"/>
    </row>
    <row r="60" spans="1:10">
      <c r="A60" s="110"/>
      <c r="B60" s="113"/>
      <c r="C60" s="110"/>
      <c r="D60" s="110"/>
      <c r="E60" s="110"/>
      <c r="F60" s="10"/>
      <c r="G60" s="110"/>
      <c r="H60" s="110"/>
      <c r="I60" s="115"/>
      <c r="J60" s="117"/>
    </row>
    <row r="61" spans="1:10">
      <c r="A61" s="110"/>
      <c r="B61" s="113"/>
      <c r="C61" s="110"/>
      <c r="D61" s="110"/>
      <c r="E61" s="110"/>
      <c r="F61" s="110"/>
      <c r="G61" s="110"/>
      <c r="H61" s="110"/>
      <c r="I61" s="115"/>
      <c r="J61" s="117"/>
    </row>
    <row r="62" spans="1:10">
      <c r="A62" s="110"/>
      <c r="B62" s="113"/>
      <c r="C62" s="110"/>
      <c r="D62" s="110"/>
      <c r="E62" s="110"/>
      <c r="F62" s="10"/>
      <c r="G62" s="110"/>
      <c r="H62" s="110"/>
      <c r="I62" s="115"/>
      <c r="J62" s="117"/>
    </row>
    <row r="63" spans="1:10">
      <c r="A63" s="110"/>
      <c r="B63" s="113"/>
      <c r="C63" s="110"/>
      <c r="D63" s="110"/>
      <c r="E63" s="110"/>
      <c r="F63" s="10"/>
      <c r="G63" s="110"/>
      <c r="H63" s="110"/>
      <c r="I63" s="115"/>
      <c r="J63" s="117"/>
    </row>
    <row r="64" spans="1:10">
      <c r="A64" s="110"/>
      <c r="B64" s="113"/>
      <c r="C64" s="110"/>
      <c r="D64" s="110"/>
      <c r="E64" s="110"/>
      <c r="F64" s="10"/>
      <c r="G64" s="110"/>
      <c r="H64" s="110"/>
      <c r="I64" s="115"/>
      <c r="J64" s="117"/>
    </row>
    <row r="65" spans="1:10">
      <c r="A65" s="110"/>
      <c r="B65" s="113"/>
      <c r="C65" s="110"/>
      <c r="D65" s="110"/>
      <c r="E65" s="110"/>
      <c r="F65" s="110"/>
      <c r="G65" s="110"/>
      <c r="H65" s="110"/>
      <c r="I65" s="115"/>
      <c r="J65" s="117"/>
    </row>
    <row r="66" spans="1:10">
      <c r="A66" s="110"/>
      <c r="B66" s="113"/>
      <c r="C66" s="110"/>
      <c r="D66" s="110"/>
      <c r="E66" s="110"/>
      <c r="F66" s="110"/>
      <c r="G66" s="110"/>
      <c r="H66" s="110"/>
      <c r="I66" s="115"/>
      <c r="J66" s="117"/>
    </row>
    <row r="67" spans="1:10">
      <c r="A67" s="110"/>
      <c r="B67" s="113"/>
      <c r="C67" s="110"/>
      <c r="D67" s="110"/>
      <c r="E67" s="110"/>
      <c r="F67" s="110"/>
      <c r="G67" s="110"/>
      <c r="H67" s="110"/>
      <c r="I67" s="115"/>
      <c r="J67" s="117"/>
    </row>
    <row r="68" spans="1:10">
      <c r="A68" s="110"/>
      <c r="B68" s="113"/>
      <c r="C68" s="110"/>
      <c r="D68" s="110"/>
      <c r="E68" s="110"/>
      <c r="F68" s="110"/>
      <c r="G68" s="110"/>
      <c r="H68" s="110"/>
      <c r="I68" s="115"/>
      <c r="J68" s="117"/>
    </row>
    <row r="69" spans="1:10">
      <c r="A69" s="110"/>
      <c r="B69" s="113"/>
      <c r="C69" s="110"/>
      <c r="D69" s="110"/>
      <c r="E69" s="110"/>
      <c r="F69" s="10"/>
      <c r="G69" s="110"/>
      <c r="H69" s="110"/>
      <c r="I69" s="115"/>
      <c r="J69" s="117"/>
    </row>
    <row r="70" spans="1:10">
      <c r="A70" s="110"/>
      <c r="B70" s="113"/>
      <c r="C70" s="110"/>
      <c r="D70" s="110"/>
      <c r="E70" s="110"/>
      <c r="F70" s="10"/>
      <c r="G70" s="110"/>
      <c r="H70" s="110"/>
      <c r="I70" s="115"/>
      <c r="J70" s="117"/>
    </row>
    <row r="71" spans="1:10">
      <c r="A71" s="110"/>
      <c r="B71" s="113"/>
      <c r="C71" s="110"/>
      <c r="D71" s="110"/>
      <c r="E71" s="110"/>
      <c r="F71" s="110"/>
      <c r="G71" s="110"/>
      <c r="H71" s="110"/>
      <c r="I71" s="115"/>
      <c r="J71" s="117"/>
    </row>
    <row r="72" spans="1:10">
      <c r="A72" s="110"/>
      <c r="B72" s="113"/>
      <c r="C72" s="110"/>
      <c r="D72" s="110"/>
      <c r="E72" s="110"/>
      <c r="F72" s="110"/>
      <c r="G72" s="110"/>
      <c r="H72" s="110"/>
      <c r="I72" s="115"/>
      <c r="J72" s="117"/>
    </row>
    <row r="73" spans="1:10">
      <c r="A73" s="110"/>
      <c r="B73" s="113"/>
      <c r="C73" s="110"/>
      <c r="D73" s="110"/>
      <c r="E73" s="110"/>
      <c r="F73" s="10"/>
      <c r="G73" s="110"/>
      <c r="H73" s="110"/>
      <c r="I73" s="115"/>
      <c r="J73" s="117"/>
    </row>
    <row r="74" spans="1:10">
      <c r="A74" s="110"/>
      <c r="B74" s="113"/>
      <c r="C74" s="110"/>
      <c r="D74" s="110"/>
      <c r="E74" s="110"/>
      <c r="F74" s="110"/>
      <c r="G74" s="110"/>
      <c r="H74" s="110"/>
      <c r="I74" s="115"/>
      <c r="J74" s="117"/>
    </row>
    <row r="75" spans="1:10">
      <c r="A75" s="110"/>
      <c r="B75" s="113"/>
      <c r="C75" s="110"/>
      <c r="D75" s="110"/>
      <c r="E75" s="110"/>
      <c r="F75" s="10"/>
      <c r="G75" s="110"/>
      <c r="H75" s="110"/>
      <c r="I75" s="115"/>
      <c r="J75" s="117"/>
    </row>
    <row r="76" spans="1:10">
      <c r="A76" s="110"/>
      <c r="B76" s="113"/>
      <c r="C76" s="110"/>
      <c r="D76" s="110"/>
      <c r="E76" s="110"/>
      <c r="F76" s="10"/>
      <c r="G76" s="110"/>
      <c r="H76" s="110"/>
      <c r="I76" s="115"/>
      <c r="J76" s="117"/>
    </row>
    <row r="77" spans="1:10">
      <c r="A77" s="110"/>
      <c r="B77" s="113"/>
      <c r="C77" s="110"/>
      <c r="D77" s="110"/>
      <c r="E77" s="110"/>
      <c r="F77" s="10"/>
      <c r="G77" s="110"/>
      <c r="H77" s="110"/>
      <c r="I77" s="115"/>
      <c r="J77" s="117"/>
    </row>
    <row r="78" spans="1:10">
      <c r="A78" s="110"/>
      <c r="B78" s="113"/>
      <c r="C78" s="110"/>
      <c r="D78" s="110"/>
      <c r="E78" s="110"/>
      <c r="F78" s="10"/>
      <c r="G78" s="110"/>
      <c r="H78" s="110"/>
      <c r="I78" s="115"/>
      <c r="J78" s="117"/>
    </row>
    <row r="79" spans="1:10">
      <c r="A79" s="110"/>
      <c r="B79" s="113"/>
      <c r="C79" s="110"/>
      <c r="D79" s="110"/>
      <c r="E79" s="110"/>
      <c r="F79" s="10"/>
      <c r="G79" s="110"/>
      <c r="H79" s="110"/>
      <c r="I79" s="115"/>
      <c r="J79" s="117"/>
    </row>
    <row r="80" spans="1:10">
      <c r="A80" s="110"/>
      <c r="B80" s="113"/>
      <c r="C80" s="110"/>
      <c r="D80" s="110"/>
      <c r="E80" s="110"/>
      <c r="F80" s="110"/>
      <c r="G80" s="110"/>
      <c r="H80" s="110"/>
      <c r="I80" s="115"/>
      <c r="J80" s="117"/>
    </row>
    <row r="81" spans="1:10">
      <c r="A81" s="110"/>
      <c r="B81" s="113"/>
      <c r="C81" s="110"/>
      <c r="D81" s="110"/>
      <c r="E81" s="110"/>
      <c r="F81" s="10"/>
      <c r="G81" s="110"/>
      <c r="H81" s="110"/>
      <c r="I81" s="115"/>
      <c r="J81" s="117"/>
    </row>
    <row r="82" spans="1:10">
      <c r="A82" s="110"/>
      <c r="B82" s="113"/>
      <c r="C82" s="110"/>
      <c r="D82" s="110"/>
      <c r="E82" s="110"/>
      <c r="F82" s="10"/>
      <c r="G82" s="110"/>
      <c r="H82" s="110"/>
      <c r="I82" s="115"/>
      <c r="J82" s="117"/>
    </row>
    <row r="83" spans="1:10">
      <c r="A83" s="110"/>
      <c r="B83" s="113"/>
      <c r="C83" s="110"/>
      <c r="D83" s="110"/>
      <c r="E83" s="110"/>
      <c r="F83" s="10"/>
      <c r="G83" s="110"/>
      <c r="H83" s="110"/>
      <c r="I83" s="115"/>
      <c r="J83" s="117"/>
    </row>
    <row r="84" spans="1:10">
      <c r="A84" s="110"/>
      <c r="B84" s="113"/>
      <c r="C84" s="110"/>
      <c r="D84" s="110"/>
      <c r="E84" s="110"/>
      <c r="F84" s="110"/>
      <c r="G84" s="110"/>
      <c r="H84" s="110"/>
      <c r="I84" s="115"/>
      <c r="J84" s="117"/>
    </row>
    <row r="85" spans="1:10">
      <c r="A85" s="110"/>
      <c r="B85" s="113"/>
      <c r="C85" s="110"/>
      <c r="D85" s="110"/>
      <c r="E85" s="110"/>
      <c r="F85" s="10"/>
      <c r="G85" s="110"/>
      <c r="H85" s="110"/>
      <c r="I85" s="115"/>
      <c r="J85" s="117"/>
    </row>
    <row r="86" spans="1:10">
      <c r="A86" s="110"/>
      <c r="B86" s="113"/>
      <c r="C86" s="110"/>
      <c r="D86" s="110"/>
      <c r="E86" s="110"/>
      <c r="F86" s="10"/>
      <c r="G86" s="110"/>
      <c r="H86" s="110"/>
      <c r="I86" s="115"/>
      <c r="J86" s="117"/>
    </row>
    <row r="87" spans="1:10">
      <c r="A87" s="110"/>
      <c r="B87" s="113"/>
      <c r="C87" s="110"/>
      <c r="D87" s="110"/>
      <c r="E87" s="110"/>
      <c r="F87" s="10"/>
      <c r="G87" s="110"/>
      <c r="H87" s="110"/>
      <c r="I87" s="115"/>
      <c r="J87" s="117"/>
    </row>
    <row r="88" spans="1:10">
      <c r="A88" s="110"/>
      <c r="B88" s="113"/>
      <c r="C88" s="110"/>
      <c r="D88" s="110"/>
      <c r="E88" s="110"/>
      <c r="F88" s="10"/>
      <c r="G88" s="110"/>
      <c r="H88" s="110"/>
      <c r="I88" s="115"/>
      <c r="J88" s="117"/>
    </row>
    <row r="89" spans="1:10">
      <c r="A89" s="110"/>
      <c r="B89" s="113"/>
      <c r="C89" s="110"/>
      <c r="D89" s="110"/>
      <c r="E89" s="110"/>
      <c r="F89" s="110"/>
      <c r="G89" s="110"/>
      <c r="H89" s="110"/>
      <c r="I89" s="115"/>
      <c r="J89" s="117"/>
    </row>
    <row r="90" spans="1:10">
      <c r="A90" s="110"/>
      <c r="B90" s="113"/>
      <c r="C90" s="110"/>
      <c r="D90" s="110"/>
      <c r="E90" s="110"/>
      <c r="F90" s="10"/>
      <c r="G90" s="110"/>
      <c r="H90" s="110"/>
      <c r="I90" s="115"/>
      <c r="J90" s="117"/>
    </row>
    <row r="91" spans="1:10">
      <c r="A91" s="110"/>
      <c r="B91" s="113"/>
      <c r="C91" s="110"/>
      <c r="D91" s="110"/>
      <c r="E91" s="110"/>
      <c r="F91" s="10"/>
      <c r="G91" s="110"/>
      <c r="H91" s="110"/>
      <c r="I91" s="115"/>
      <c r="J91" s="117"/>
    </row>
    <row r="92" spans="1:10">
      <c r="A92" s="110"/>
      <c r="B92" s="113"/>
      <c r="C92" s="110"/>
      <c r="D92" s="110"/>
      <c r="E92" s="110"/>
      <c r="F92" s="110"/>
      <c r="G92" s="110"/>
      <c r="H92" s="110"/>
      <c r="I92" s="115"/>
      <c r="J92" s="117"/>
    </row>
    <row r="93" spans="1:10">
      <c r="A93" s="110"/>
      <c r="B93" s="113"/>
      <c r="C93" s="110"/>
      <c r="D93" s="110"/>
      <c r="E93" s="110"/>
      <c r="F93" s="10"/>
      <c r="G93" s="110"/>
      <c r="H93" s="110"/>
      <c r="I93" s="115"/>
      <c r="J93" s="117"/>
    </row>
    <row r="94" spans="1:10">
      <c r="A94" s="110"/>
      <c r="B94" s="113"/>
      <c r="C94" s="110"/>
      <c r="D94" s="110"/>
      <c r="E94" s="110"/>
      <c r="F94" s="10"/>
      <c r="G94" s="110"/>
      <c r="H94" s="110"/>
      <c r="I94" s="115"/>
      <c r="J94" s="117"/>
    </row>
    <row r="95" spans="1:10">
      <c r="A95" s="110"/>
      <c r="B95" s="113"/>
      <c r="C95" s="110"/>
      <c r="D95" s="110"/>
      <c r="E95" s="110"/>
      <c r="F95" s="110"/>
      <c r="G95" s="110"/>
      <c r="H95" s="110"/>
      <c r="I95" s="115"/>
      <c r="J95" s="117"/>
    </row>
    <row r="96" spans="1:10">
      <c r="A96" s="110"/>
      <c r="B96" s="113"/>
      <c r="C96" s="110"/>
      <c r="D96" s="110"/>
      <c r="E96" s="110"/>
      <c r="F96" s="110"/>
      <c r="G96" s="110"/>
      <c r="H96" s="110"/>
      <c r="I96" s="115"/>
      <c r="J96" s="117"/>
    </row>
    <row r="97" spans="1:10">
      <c r="A97" s="110"/>
      <c r="B97" s="113"/>
      <c r="C97" s="110"/>
      <c r="D97" s="110"/>
      <c r="E97" s="110"/>
      <c r="F97" s="10"/>
      <c r="G97" s="110"/>
      <c r="H97" s="110"/>
      <c r="I97" s="115"/>
      <c r="J97" s="117"/>
    </row>
    <row r="98" spans="1:10">
      <c r="A98" s="110"/>
      <c r="B98" s="113"/>
      <c r="C98" s="110"/>
      <c r="D98" s="110"/>
      <c r="E98" s="110"/>
      <c r="F98" s="110"/>
      <c r="G98" s="110"/>
      <c r="H98" s="110"/>
      <c r="I98" s="115"/>
      <c r="J98" s="117"/>
    </row>
    <row r="99" spans="1:10">
      <c r="A99" s="110"/>
      <c r="B99" s="113"/>
      <c r="C99" s="110"/>
      <c r="D99" s="110"/>
      <c r="E99" s="110"/>
      <c r="F99" s="110"/>
      <c r="G99" s="110"/>
      <c r="H99" s="110"/>
      <c r="I99" s="115"/>
      <c r="J99" s="117"/>
    </row>
    <row r="100" spans="1:10">
      <c r="A100" s="110"/>
      <c r="B100" s="113"/>
      <c r="C100" s="110"/>
      <c r="D100" s="110"/>
      <c r="E100" s="110"/>
      <c r="F100" s="110"/>
      <c r="G100" s="110"/>
      <c r="H100" s="110"/>
      <c r="I100" s="115"/>
      <c r="J100" s="117"/>
    </row>
    <row r="101" spans="1:10">
      <c r="A101" s="110"/>
      <c r="B101" s="113"/>
      <c r="C101" s="110"/>
      <c r="D101" s="110"/>
      <c r="E101" s="110"/>
      <c r="F101" s="10"/>
      <c r="G101" s="110"/>
      <c r="H101" s="110"/>
      <c r="I101" s="115"/>
      <c r="J101" s="117"/>
    </row>
    <row r="102" spans="1:10">
      <c r="A102" s="110"/>
      <c r="B102" s="113"/>
      <c r="C102" s="110"/>
      <c r="D102" s="110"/>
      <c r="E102" s="110"/>
      <c r="F102" s="10"/>
      <c r="G102" s="110"/>
      <c r="H102" s="110"/>
      <c r="I102" s="115"/>
      <c r="J102" s="117"/>
    </row>
    <row r="103" spans="1:10">
      <c r="A103" s="110"/>
      <c r="B103" s="113"/>
      <c r="C103" s="110"/>
      <c r="D103" s="110"/>
      <c r="E103" s="110"/>
      <c r="F103" s="110"/>
      <c r="G103" s="110"/>
      <c r="H103" s="110"/>
      <c r="I103" s="115"/>
      <c r="J103" s="117"/>
    </row>
    <row r="104" spans="1:10">
      <c r="A104" s="110"/>
      <c r="B104" s="113"/>
      <c r="C104" s="110"/>
      <c r="D104" s="110"/>
      <c r="E104" s="110"/>
      <c r="F104" s="110"/>
      <c r="G104" s="110"/>
      <c r="H104" s="110"/>
      <c r="I104" s="115"/>
      <c r="J104" s="117"/>
    </row>
    <row r="105" spans="1:10">
      <c r="A105" s="110"/>
      <c r="B105" s="113"/>
      <c r="C105" s="110"/>
      <c r="D105" s="110"/>
      <c r="E105" s="110"/>
      <c r="F105" s="110"/>
      <c r="G105" s="110"/>
      <c r="H105" s="110"/>
      <c r="I105" s="115"/>
      <c r="J105" s="117"/>
    </row>
    <row r="106" spans="1:10">
      <c r="A106" s="110"/>
      <c r="B106" s="113"/>
      <c r="C106" s="110"/>
      <c r="D106" s="110"/>
      <c r="E106" s="110"/>
      <c r="F106" s="110"/>
      <c r="G106" s="110"/>
      <c r="H106" s="110"/>
      <c r="I106" s="115"/>
      <c r="J106" s="117"/>
    </row>
    <row r="107" spans="1:10">
      <c r="A107" s="110"/>
      <c r="B107" s="113"/>
      <c r="C107" s="110"/>
      <c r="D107" s="110"/>
      <c r="E107" s="110"/>
      <c r="F107" s="110"/>
      <c r="G107" s="110"/>
      <c r="H107" s="110"/>
      <c r="I107" s="115"/>
      <c r="J107" s="117"/>
    </row>
    <row r="108" spans="1:10">
      <c r="A108" s="110"/>
      <c r="B108" s="113"/>
      <c r="C108" s="110"/>
      <c r="D108" s="110"/>
      <c r="E108" s="110"/>
      <c r="F108" s="10"/>
      <c r="G108" s="110"/>
      <c r="H108" s="110"/>
      <c r="I108" s="115"/>
      <c r="J108" s="117"/>
    </row>
    <row r="109" spans="1:10">
      <c r="A109" s="110"/>
      <c r="B109" s="113"/>
      <c r="C109" s="110"/>
      <c r="D109" s="110"/>
      <c r="E109" s="110"/>
      <c r="F109" s="110"/>
      <c r="G109" s="110"/>
      <c r="H109" s="110"/>
      <c r="I109" s="115"/>
      <c r="J109" s="117"/>
    </row>
    <row r="110" spans="1:10">
      <c r="A110" s="110"/>
      <c r="B110" s="113"/>
      <c r="C110" s="110"/>
      <c r="D110" s="110"/>
      <c r="E110" s="110"/>
      <c r="F110" s="10"/>
      <c r="G110" s="110"/>
      <c r="H110" s="110"/>
      <c r="I110" s="115"/>
      <c r="J110" s="117"/>
    </row>
    <row r="111" spans="1:10">
      <c r="A111" s="110"/>
      <c r="B111" s="113"/>
      <c r="C111" s="110"/>
      <c r="D111" s="110"/>
      <c r="E111" s="110"/>
      <c r="F111" s="10"/>
      <c r="G111" s="110"/>
      <c r="H111" s="110"/>
      <c r="I111" s="115"/>
      <c r="J111" s="117"/>
    </row>
    <row r="112" spans="1:10">
      <c r="A112" s="110"/>
      <c r="B112" s="113"/>
      <c r="C112" s="110"/>
      <c r="D112" s="110"/>
      <c r="E112" s="110"/>
      <c r="F112" s="110"/>
      <c r="G112" s="110"/>
      <c r="H112" s="110"/>
      <c r="I112" s="115"/>
      <c r="J112" s="117"/>
    </row>
    <row r="113" spans="1:10">
      <c r="A113" s="110"/>
      <c r="B113" s="113"/>
      <c r="C113" s="110"/>
      <c r="D113" s="110"/>
      <c r="E113" s="110"/>
      <c r="F113" s="110"/>
      <c r="G113" s="110"/>
      <c r="H113" s="110"/>
      <c r="I113" s="115"/>
      <c r="J113" s="117"/>
    </row>
    <row r="114" spans="1:10">
      <c r="A114" s="110"/>
      <c r="B114" s="113"/>
      <c r="C114" s="110"/>
      <c r="D114" s="110"/>
      <c r="E114" s="110"/>
      <c r="F114" s="110"/>
      <c r="G114" s="110"/>
      <c r="H114" s="110"/>
      <c r="I114" s="115"/>
      <c r="J114" s="117"/>
    </row>
    <row r="115" spans="1:10">
      <c r="A115" s="110"/>
      <c r="B115" s="113"/>
      <c r="C115" s="110"/>
      <c r="D115" s="110"/>
      <c r="E115" s="110"/>
      <c r="F115" s="110"/>
      <c r="G115" s="110"/>
      <c r="H115" s="110"/>
      <c r="I115" s="115"/>
      <c r="J115" s="117"/>
    </row>
    <row r="116" spans="1:10">
      <c r="A116" s="110"/>
      <c r="B116" s="113"/>
      <c r="C116" s="110"/>
      <c r="D116" s="110"/>
      <c r="E116" s="110"/>
      <c r="F116" s="10"/>
      <c r="G116" s="110"/>
      <c r="H116" s="110"/>
      <c r="I116" s="115"/>
      <c r="J116" s="117"/>
    </row>
    <row r="117" spans="1:10">
      <c r="A117" s="110"/>
      <c r="B117" s="113"/>
      <c r="C117" s="110"/>
      <c r="D117" s="110"/>
      <c r="E117" s="110"/>
      <c r="F117" s="10"/>
      <c r="G117" s="110"/>
      <c r="H117" s="110"/>
      <c r="I117" s="115"/>
      <c r="J117" s="117"/>
    </row>
    <row r="118" spans="1:10">
      <c r="A118" s="110"/>
      <c r="B118" s="113"/>
      <c r="C118" s="110"/>
      <c r="D118" s="110"/>
      <c r="E118" s="110"/>
      <c r="F118" s="110"/>
      <c r="G118" s="110"/>
      <c r="H118" s="110"/>
      <c r="I118" s="115"/>
      <c r="J118" s="117"/>
    </row>
    <row r="119" spans="1:10">
      <c r="A119" s="110"/>
      <c r="B119" s="113"/>
      <c r="C119" s="110"/>
      <c r="D119" s="110"/>
      <c r="E119" s="110"/>
      <c r="F119" s="110"/>
      <c r="G119" s="110"/>
      <c r="H119" s="110"/>
      <c r="I119" s="115"/>
      <c r="J119" s="117"/>
    </row>
    <row r="120" spans="1:10">
      <c r="A120" s="110"/>
      <c r="B120" s="113"/>
      <c r="C120" s="110"/>
      <c r="D120" s="110"/>
      <c r="E120" s="110"/>
      <c r="F120" s="110"/>
      <c r="G120" s="110"/>
      <c r="H120" s="110"/>
      <c r="I120" s="115"/>
      <c r="J120" s="117"/>
    </row>
    <row r="121" spans="1:10">
      <c r="A121" s="110"/>
      <c r="B121" s="113"/>
      <c r="C121" s="110"/>
      <c r="D121" s="110"/>
      <c r="E121" s="110"/>
      <c r="F121" s="10"/>
      <c r="G121" s="110"/>
      <c r="H121" s="110"/>
      <c r="I121" s="115"/>
      <c r="J121" s="117"/>
    </row>
    <row r="122" spans="1:10">
      <c r="A122" s="110"/>
      <c r="B122" s="113"/>
      <c r="C122" s="110"/>
      <c r="D122" s="110"/>
      <c r="E122" s="110"/>
      <c r="F122" s="10"/>
      <c r="G122" s="110"/>
      <c r="H122" s="110"/>
      <c r="I122" s="115"/>
      <c r="J122" s="117"/>
    </row>
    <row r="123" spans="1:10">
      <c r="A123" s="110"/>
      <c r="B123" s="113"/>
      <c r="C123" s="110"/>
      <c r="D123" s="110"/>
      <c r="E123" s="110"/>
      <c r="F123" s="110"/>
      <c r="G123" s="110"/>
      <c r="H123" s="110"/>
      <c r="I123" s="115"/>
      <c r="J123" s="117"/>
    </row>
    <row r="124" spans="1:10">
      <c r="A124" s="110"/>
      <c r="B124" s="113"/>
      <c r="C124" s="110"/>
      <c r="D124" s="110"/>
      <c r="E124" s="110"/>
      <c r="F124" s="10"/>
      <c r="G124" s="110"/>
      <c r="H124" s="110"/>
      <c r="I124" s="115"/>
      <c r="J124" s="117"/>
    </row>
    <row r="125" spans="1:10">
      <c r="A125" s="110"/>
      <c r="B125" s="113"/>
      <c r="C125" s="110"/>
      <c r="D125" s="110"/>
      <c r="E125" s="110"/>
      <c r="F125" s="110"/>
      <c r="G125" s="110"/>
      <c r="H125" s="110"/>
      <c r="I125" s="115"/>
      <c r="J125" s="117"/>
    </row>
    <row r="126" spans="1:10">
      <c r="A126" s="110"/>
      <c r="B126" s="113"/>
      <c r="C126" s="110"/>
      <c r="D126" s="110"/>
      <c r="E126" s="110"/>
      <c r="F126" s="110"/>
      <c r="G126" s="110"/>
      <c r="H126" s="110"/>
      <c r="I126" s="115"/>
      <c r="J126" s="117"/>
    </row>
    <row r="127" spans="1:10">
      <c r="A127" s="110"/>
      <c r="B127" s="113"/>
      <c r="C127" s="110"/>
      <c r="D127" s="110"/>
      <c r="E127" s="110"/>
      <c r="F127" s="110"/>
      <c r="G127" s="110"/>
      <c r="H127" s="110"/>
      <c r="I127" s="115"/>
      <c r="J127" s="117"/>
    </row>
    <row r="128" spans="1:10">
      <c r="A128" s="110"/>
      <c r="B128" s="113"/>
      <c r="C128" s="110"/>
      <c r="D128" s="110"/>
      <c r="E128" s="110"/>
      <c r="F128" s="110"/>
      <c r="G128" s="110"/>
      <c r="H128" s="110"/>
      <c r="I128" s="115"/>
      <c r="J128" s="117"/>
    </row>
    <row r="129" spans="1:10">
      <c r="A129" s="110"/>
      <c r="B129" s="113"/>
      <c r="C129" s="110"/>
      <c r="D129" s="110"/>
      <c r="E129" s="110"/>
      <c r="F129" s="110"/>
      <c r="G129" s="110"/>
      <c r="H129" s="110"/>
      <c r="I129" s="115"/>
      <c r="J129" s="117"/>
    </row>
    <row r="130" spans="1:10">
      <c r="A130" s="110"/>
      <c r="B130" s="113"/>
      <c r="C130" s="110"/>
      <c r="D130" s="110"/>
      <c r="E130" s="110"/>
      <c r="F130" s="10"/>
      <c r="G130" s="110"/>
      <c r="H130" s="110"/>
      <c r="I130" s="115"/>
      <c r="J130" s="117"/>
    </row>
    <row r="131" spans="1:10">
      <c r="A131" s="110"/>
      <c r="B131" s="113"/>
      <c r="C131" s="110"/>
      <c r="D131" s="110"/>
      <c r="E131" s="110"/>
      <c r="F131" s="10"/>
      <c r="G131" s="110"/>
      <c r="H131" s="110"/>
      <c r="I131" s="115"/>
      <c r="J131" s="117"/>
    </row>
    <row r="132" spans="1:10">
      <c r="A132" s="110"/>
      <c r="B132" s="113"/>
      <c r="C132" s="110"/>
      <c r="D132" s="110"/>
      <c r="E132" s="110"/>
      <c r="F132" s="110"/>
      <c r="G132" s="110"/>
      <c r="H132" s="110"/>
      <c r="I132" s="115"/>
      <c r="J132" s="117"/>
    </row>
    <row r="133" spans="1:10">
      <c r="A133" s="110"/>
      <c r="B133" s="113"/>
      <c r="C133" s="110"/>
      <c r="D133" s="110"/>
      <c r="E133" s="110"/>
      <c r="F133" s="10"/>
      <c r="G133" s="110"/>
      <c r="H133" s="110"/>
      <c r="I133" s="115"/>
      <c r="J133" s="117"/>
    </row>
    <row r="134" spans="1:10">
      <c r="A134" s="110"/>
      <c r="B134" s="113"/>
      <c r="C134" s="110"/>
      <c r="D134" s="110"/>
      <c r="E134" s="110"/>
      <c r="F134" s="10"/>
      <c r="G134" s="110"/>
      <c r="H134" s="110"/>
      <c r="I134" s="115"/>
      <c r="J134" s="117"/>
    </row>
    <row r="135" spans="1:10">
      <c r="A135" s="110"/>
      <c r="B135" s="113"/>
      <c r="C135" s="110"/>
      <c r="D135" s="110"/>
      <c r="E135" s="110"/>
      <c r="F135" s="110"/>
      <c r="G135" s="110"/>
      <c r="H135" s="110"/>
      <c r="I135" s="115"/>
      <c r="J135" s="117"/>
    </row>
    <row r="136" spans="1:10">
      <c r="A136" s="110"/>
      <c r="B136" s="113"/>
      <c r="C136" s="110"/>
      <c r="D136" s="110"/>
      <c r="E136" s="110"/>
      <c r="F136" s="110"/>
      <c r="G136" s="110"/>
      <c r="H136" s="110"/>
      <c r="I136" s="115"/>
      <c r="J136" s="117"/>
    </row>
    <row r="137" spans="1:10">
      <c r="A137" s="110"/>
      <c r="B137" s="113"/>
      <c r="C137" s="110"/>
      <c r="D137" s="110"/>
      <c r="E137" s="110"/>
      <c r="F137" s="110"/>
      <c r="G137" s="110"/>
      <c r="H137" s="110"/>
      <c r="I137" s="115"/>
      <c r="J137" s="117"/>
    </row>
    <row r="138" spans="1:10">
      <c r="A138" s="110"/>
      <c r="B138" s="113"/>
      <c r="C138" s="110"/>
      <c r="D138" s="110"/>
      <c r="E138" s="110"/>
      <c r="F138" s="110"/>
      <c r="G138" s="110"/>
      <c r="H138" s="110"/>
      <c r="I138" s="115"/>
      <c r="J138" s="117"/>
    </row>
    <row r="139" spans="1:10">
      <c r="A139" s="110"/>
      <c r="B139" s="113"/>
      <c r="C139" s="110"/>
      <c r="D139" s="110"/>
      <c r="E139" s="110"/>
      <c r="F139" s="110"/>
      <c r="G139" s="110"/>
      <c r="H139" s="110"/>
      <c r="I139" s="115"/>
      <c r="J139" s="117"/>
    </row>
    <row r="140" spans="1:10">
      <c r="A140" s="110"/>
      <c r="B140" s="113"/>
      <c r="C140" s="110"/>
      <c r="D140" s="110"/>
      <c r="E140" s="110"/>
      <c r="F140" s="10"/>
      <c r="G140" s="110"/>
      <c r="H140" s="110"/>
      <c r="I140" s="115"/>
      <c r="J140" s="117"/>
    </row>
    <row r="141" spans="1:10">
      <c r="A141" s="110"/>
      <c r="B141" s="113"/>
      <c r="C141" s="110"/>
      <c r="D141" s="110"/>
      <c r="E141" s="110"/>
      <c r="F141" s="110"/>
      <c r="G141" s="110"/>
      <c r="H141" s="110"/>
      <c r="I141" s="115"/>
      <c r="J141" s="117"/>
    </row>
    <row r="142" spans="1:10">
      <c r="A142" s="110"/>
      <c r="B142" s="113"/>
      <c r="C142" s="110"/>
      <c r="D142" s="110"/>
      <c r="E142" s="110"/>
      <c r="F142" s="110"/>
      <c r="G142" s="110"/>
      <c r="H142" s="110"/>
      <c r="I142" s="115"/>
      <c r="J142" s="117"/>
    </row>
    <row r="143" spans="1:10">
      <c r="A143" s="110"/>
      <c r="B143" s="113"/>
      <c r="C143" s="110"/>
      <c r="D143" s="110"/>
      <c r="E143" s="110"/>
      <c r="F143" s="110"/>
      <c r="G143" s="110"/>
      <c r="H143" s="110"/>
      <c r="I143" s="115"/>
      <c r="J143" s="117"/>
    </row>
    <row r="144" spans="1:10">
      <c r="A144" s="110"/>
      <c r="B144" s="113"/>
      <c r="C144" s="110"/>
      <c r="D144" s="110"/>
      <c r="E144" s="110"/>
      <c r="F144" s="10"/>
      <c r="G144" s="110"/>
      <c r="H144" s="110"/>
      <c r="I144" s="115"/>
      <c r="J144" s="117"/>
    </row>
    <row r="145" spans="1:10">
      <c r="A145" s="110"/>
      <c r="B145" s="113"/>
      <c r="C145" s="110"/>
      <c r="D145" s="110"/>
      <c r="E145" s="110"/>
      <c r="F145" s="10"/>
      <c r="G145" s="110"/>
      <c r="H145" s="110"/>
      <c r="I145" s="115"/>
      <c r="J145" s="117"/>
    </row>
    <row r="146" spans="1:10">
      <c r="A146" s="110"/>
      <c r="B146" s="113"/>
      <c r="C146" s="110"/>
      <c r="D146" s="110"/>
      <c r="E146" s="110"/>
      <c r="F146" s="110"/>
      <c r="G146" s="110"/>
      <c r="H146" s="110"/>
      <c r="I146" s="115"/>
      <c r="J146" s="117"/>
    </row>
    <row r="147" spans="1:10">
      <c r="A147" s="110"/>
      <c r="B147" s="113"/>
      <c r="C147" s="110"/>
      <c r="D147" s="110"/>
      <c r="E147" s="110"/>
      <c r="F147" s="10"/>
      <c r="G147" s="110"/>
      <c r="H147" s="110"/>
      <c r="I147" s="115"/>
      <c r="J147" s="117"/>
    </row>
    <row r="148" spans="1:10">
      <c r="A148" s="110"/>
      <c r="B148" s="113"/>
      <c r="C148" s="110"/>
      <c r="D148" s="110"/>
      <c r="E148" s="110"/>
      <c r="F148" s="110"/>
      <c r="G148" s="110"/>
      <c r="H148" s="110"/>
      <c r="I148" s="115"/>
      <c r="J148" s="117"/>
    </row>
    <row r="149" spans="1:10">
      <c r="A149" s="110"/>
      <c r="B149" s="113"/>
      <c r="C149" s="110"/>
      <c r="D149" s="110"/>
      <c r="E149" s="110"/>
      <c r="F149" s="10"/>
      <c r="G149" s="110"/>
      <c r="H149" s="110"/>
      <c r="I149" s="115"/>
      <c r="J149" s="117"/>
    </row>
    <row r="150" spans="1:10">
      <c r="A150" s="110"/>
      <c r="B150" s="113"/>
      <c r="C150" s="110"/>
      <c r="D150" s="110"/>
      <c r="E150" s="110"/>
      <c r="F150" s="110"/>
      <c r="G150" s="110"/>
      <c r="H150" s="110"/>
      <c r="I150" s="115"/>
      <c r="J150" s="117"/>
    </row>
    <row r="151" spans="1:10">
      <c r="A151" s="110"/>
      <c r="B151" s="113"/>
      <c r="C151" s="110"/>
      <c r="D151" s="110"/>
      <c r="E151" s="110"/>
      <c r="F151" s="10"/>
      <c r="G151" s="110"/>
      <c r="H151" s="110"/>
      <c r="I151" s="115"/>
      <c r="J151" s="117"/>
    </row>
  </sheetData>
  <dataValidations count="3">
    <dataValidation type="list" allowBlank="1" showInputMessage="1" showErrorMessage="1" sqref="D2:D151" xr:uid="{590AB9BC-4AD1-4A00-8E06-19C01075AAB9}">
      <formula1>"Labour,Input"</formula1>
    </dataValidation>
    <dataValidation type="list" allowBlank="1" showInputMessage="1" showErrorMessage="1" sqref="G2:G151" xr:uid="{F07EF74C-E03B-4117-AAB1-3B76157C189F}">
      <formula1>"Manday,Kg,Liter,Tree"</formula1>
    </dataValidation>
    <dataValidation type="list" allowBlank="1" showInputMessage="1" showErrorMessage="1" sqref="E2:E151" xr:uid="{3AEFE7EE-263D-4527-A5DB-2464BF0F3D1F}">
      <formula1>INDIRECT("Initial_Investment_" &amp; SUBSTITUTE(D2," ","_"))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84DE-5682-447F-997D-BF145E71E9F1}">
  <dimension ref="A1:N164"/>
  <sheetViews>
    <sheetView zoomScale="80" zoomScaleNormal="80" workbookViewId="0">
      <pane ySplit="1" topLeftCell="A2" activePane="bottomLeft" state="frozen"/>
      <selection pane="bottomLeft" activeCell="I2" sqref="I2"/>
    </sheetView>
  </sheetViews>
  <sheetFormatPr defaultRowHeight="14"/>
  <cols>
    <col min="1" max="1" width="4.5" bestFit="1" customWidth="1"/>
    <col min="2" max="2" width="9.75" bestFit="1" customWidth="1"/>
    <col min="3" max="3" width="20.4140625" bestFit="1" customWidth="1"/>
    <col min="4" max="4" width="19.25" bestFit="1" customWidth="1"/>
    <col min="5" max="5" width="24.33203125" bestFit="1" customWidth="1"/>
    <col min="6" max="6" width="20.33203125" customWidth="1"/>
    <col min="7" max="8" width="13" customWidth="1"/>
    <col min="9" max="9" width="8.33203125" customWidth="1"/>
    <col min="10" max="10" width="7.83203125" customWidth="1"/>
    <col min="11" max="11" width="10.9140625" customWidth="1"/>
    <col min="12" max="12" width="21.83203125" bestFit="1" customWidth="1"/>
  </cols>
  <sheetData>
    <row r="1" spans="1:14">
      <c r="A1" s="111" t="s">
        <v>209</v>
      </c>
      <c r="B1" s="111" t="s">
        <v>50</v>
      </c>
      <c r="C1" s="111" t="s">
        <v>187</v>
      </c>
      <c r="D1" s="111" t="s">
        <v>211</v>
      </c>
      <c r="E1" s="111" t="s">
        <v>212</v>
      </c>
      <c r="F1" s="111" t="s">
        <v>220</v>
      </c>
      <c r="G1" s="111" t="s">
        <v>53</v>
      </c>
      <c r="H1" s="111" t="s">
        <v>222</v>
      </c>
      <c r="I1" s="111" t="s">
        <v>33</v>
      </c>
      <c r="J1" s="111" t="s">
        <v>34</v>
      </c>
      <c r="K1" s="111" t="s">
        <v>35</v>
      </c>
      <c r="L1" s="111" t="s">
        <v>221</v>
      </c>
      <c r="N1" s="123" t="s">
        <v>251</v>
      </c>
    </row>
    <row r="2" spans="1:14">
      <c r="A2" s="110">
        <v>1</v>
      </c>
      <c r="B2" s="113">
        <v>45380</v>
      </c>
      <c r="C2" s="110" t="s">
        <v>242</v>
      </c>
      <c r="D2" s="110" t="s">
        <v>208</v>
      </c>
      <c r="E2" s="110" t="s">
        <v>216</v>
      </c>
      <c r="F2" s="110" t="s">
        <v>25</v>
      </c>
      <c r="G2" s="110" t="s">
        <v>250</v>
      </c>
      <c r="H2" s="110"/>
      <c r="I2" s="110" t="s">
        <v>249</v>
      </c>
      <c r="J2" s="110">
        <v>41</v>
      </c>
      <c r="K2" s="115">
        <v>66969</v>
      </c>
      <c r="L2" s="115">
        <v>2745729</v>
      </c>
      <c r="N2">
        <f>YEAR(B2)</f>
        <v>2024</v>
      </c>
    </row>
    <row r="3" spans="1:14">
      <c r="A3" s="110"/>
      <c r="B3" s="113"/>
      <c r="C3" s="110"/>
      <c r="D3" s="110"/>
      <c r="E3" s="110"/>
      <c r="F3" s="110"/>
      <c r="G3" s="110"/>
      <c r="H3" s="110"/>
      <c r="I3" s="110"/>
      <c r="J3" s="110"/>
      <c r="K3" s="115"/>
      <c r="L3" s="115"/>
    </row>
    <row r="4" spans="1:14">
      <c r="A4" s="110"/>
      <c r="B4" s="113"/>
      <c r="C4" s="110"/>
      <c r="D4" s="110"/>
      <c r="E4" s="110"/>
      <c r="F4" s="110"/>
      <c r="G4" s="110"/>
      <c r="H4" s="110"/>
      <c r="I4" s="110"/>
      <c r="J4" s="110"/>
      <c r="K4" s="115"/>
      <c r="L4" s="115"/>
    </row>
    <row r="5" spans="1:14">
      <c r="A5" s="110"/>
      <c r="B5" s="113"/>
      <c r="C5" s="110"/>
      <c r="D5" s="110"/>
      <c r="E5" s="110"/>
      <c r="F5" s="110"/>
      <c r="G5" s="110"/>
      <c r="H5" s="110"/>
      <c r="I5" s="110"/>
      <c r="J5" s="110"/>
      <c r="K5" s="115"/>
      <c r="L5" s="115"/>
    </row>
    <row r="6" spans="1:14">
      <c r="A6" s="110"/>
      <c r="B6" s="113"/>
      <c r="C6" s="110"/>
      <c r="D6" s="110"/>
      <c r="E6" s="110"/>
      <c r="F6" s="110"/>
      <c r="G6" s="110"/>
      <c r="H6" s="110"/>
      <c r="I6" s="110"/>
      <c r="J6" s="110"/>
      <c r="K6" s="115"/>
      <c r="L6" s="115"/>
    </row>
    <row r="7" spans="1:14">
      <c r="A7" s="110"/>
      <c r="B7" s="113"/>
      <c r="C7" s="110"/>
      <c r="D7" s="110"/>
      <c r="E7" s="110"/>
      <c r="F7" s="110"/>
      <c r="G7" s="110"/>
      <c r="H7" s="110"/>
      <c r="I7" s="110"/>
      <c r="J7" s="110"/>
      <c r="K7" s="115"/>
      <c r="L7" s="115"/>
    </row>
    <row r="8" spans="1:14">
      <c r="A8" s="110"/>
      <c r="B8" s="113"/>
      <c r="C8" s="110"/>
      <c r="D8" s="110"/>
      <c r="E8" s="110"/>
      <c r="F8" s="110"/>
      <c r="G8" s="110"/>
      <c r="H8" s="110"/>
      <c r="I8" s="110"/>
      <c r="J8" s="110"/>
      <c r="K8" s="115"/>
      <c r="L8" s="115"/>
    </row>
    <row r="9" spans="1:14">
      <c r="A9" s="110"/>
      <c r="B9" s="113"/>
      <c r="C9" s="110"/>
      <c r="D9" s="110"/>
      <c r="E9" s="110"/>
      <c r="F9" s="110"/>
      <c r="G9" s="110"/>
      <c r="H9" s="110"/>
      <c r="I9" s="110"/>
      <c r="J9" s="110"/>
      <c r="K9" s="115"/>
      <c r="L9" s="115"/>
    </row>
    <row r="10" spans="1:14">
      <c r="A10" s="110"/>
      <c r="B10" s="113"/>
      <c r="C10" s="110"/>
      <c r="D10" s="110"/>
      <c r="E10" s="110"/>
      <c r="F10" s="110"/>
      <c r="G10" s="110"/>
      <c r="H10" s="110"/>
      <c r="I10" s="110"/>
      <c r="J10" s="110"/>
      <c r="K10" s="115"/>
      <c r="L10" s="115"/>
    </row>
    <row r="11" spans="1:14">
      <c r="A11" s="110"/>
      <c r="B11" s="113"/>
      <c r="C11" s="110"/>
      <c r="D11" s="110"/>
      <c r="E11" s="110"/>
      <c r="F11" s="110"/>
      <c r="G11" s="110"/>
      <c r="H11" s="110"/>
      <c r="I11" s="110"/>
      <c r="J11" s="110"/>
      <c r="K11" s="115"/>
      <c r="L11" s="115"/>
    </row>
    <row r="12" spans="1:14">
      <c r="A12" s="110"/>
      <c r="B12" s="113"/>
      <c r="C12" s="110"/>
      <c r="D12" s="110"/>
      <c r="E12" s="110"/>
      <c r="F12" s="110"/>
      <c r="G12" s="110"/>
      <c r="H12" s="110"/>
      <c r="I12" s="110"/>
      <c r="J12" s="110"/>
      <c r="K12" s="115"/>
      <c r="L12" s="115"/>
    </row>
    <row r="13" spans="1:14">
      <c r="A13" s="110"/>
      <c r="B13" s="113"/>
      <c r="C13" s="110"/>
      <c r="D13" s="110"/>
      <c r="E13" s="110"/>
      <c r="F13" s="110"/>
      <c r="G13" s="110"/>
      <c r="H13" s="110"/>
      <c r="I13" s="110"/>
      <c r="J13" s="110"/>
      <c r="K13" s="115"/>
      <c r="L13" s="115"/>
    </row>
    <row r="14" spans="1:14">
      <c r="A14" s="110"/>
      <c r="B14" s="113"/>
      <c r="C14" s="110"/>
      <c r="D14" s="110"/>
      <c r="E14" s="110"/>
      <c r="F14" s="110"/>
      <c r="G14" s="110"/>
      <c r="H14" s="110"/>
      <c r="I14" s="110"/>
      <c r="J14" s="110"/>
      <c r="K14" s="115"/>
      <c r="L14" s="115"/>
    </row>
    <row r="15" spans="1:14">
      <c r="A15" s="110"/>
      <c r="B15" s="113"/>
      <c r="C15" s="110"/>
      <c r="D15" s="110"/>
      <c r="E15" s="110"/>
      <c r="F15" s="110"/>
      <c r="G15" s="110"/>
      <c r="H15" s="110"/>
      <c r="I15" s="110"/>
      <c r="J15" s="110"/>
      <c r="K15" s="115"/>
      <c r="L15" s="115"/>
    </row>
    <row r="16" spans="1:14">
      <c r="A16" s="110"/>
      <c r="B16" s="113"/>
      <c r="C16" s="110"/>
      <c r="D16" s="110"/>
      <c r="E16" s="110"/>
      <c r="F16" s="110"/>
      <c r="G16" s="110"/>
      <c r="H16" s="110"/>
      <c r="I16" s="110"/>
      <c r="J16" s="110"/>
      <c r="K16" s="115"/>
      <c r="L16" s="115"/>
    </row>
    <row r="17" spans="1:12">
      <c r="A17" s="110"/>
      <c r="B17" s="113"/>
      <c r="C17" s="110"/>
      <c r="D17" s="110"/>
      <c r="E17" s="110"/>
      <c r="F17" s="110"/>
      <c r="G17" s="110"/>
      <c r="H17" s="110"/>
      <c r="I17" s="110"/>
      <c r="J17" s="110"/>
      <c r="K17" s="115"/>
      <c r="L17" s="115"/>
    </row>
    <row r="18" spans="1:12">
      <c r="A18" s="110"/>
      <c r="B18" s="113"/>
      <c r="C18" s="110"/>
      <c r="D18" s="110"/>
      <c r="E18" s="110"/>
      <c r="F18" s="110"/>
      <c r="G18" s="110"/>
      <c r="H18" s="110"/>
      <c r="I18" s="110"/>
      <c r="J18" s="110"/>
      <c r="K18" s="115"/>
      <c r="L18" s="115"/>
    </row>
    <row r="19" spans="1:12">
      <c r="A19" s="110"/>
      <c r="B19" s="113"/>
      <c r="C19" s="110"/>
      <c r="D19" s="110"/>
      <c r="E19" s="110"/>
      <c r="F19" s="110"/>
      <c r="G19" s="110"/>
      <c r="H19" s="110"/>
      <c r="I19" s="110"/>
      <c r="J19" s="110"/>
      <c r="K19" s="115"/>
      <c r="L19" s="115"/>
    </row>
    <row r="20" spans="1:12">
      <c r="A20" s="110"/>
      <c r="B20" s="113"/>
      <c r="C20" s="110"/>
      <c r="D20" s="110"/>
      <c r="E20" s="110"/>
      <c r="F20" s="110"/>
      <c r="G20" s="110"/>
      <c r="H20" s="110"/>
      <c r="I20" s="110"/>
      <c r="J20" s="110"/>
      <c r="K20" s="115"/>
      <c r="L20" s="115"/>
    </row>
    <row r="21" spans="1:12">
      <c r="A21" s="110"/>
      <c r="B21" s="113"/>
      <c r="C21" s="110"/>
      <c r="D21" s="110"/>
      <c r="E21" s="110"/>
      <c r="F21" s="110"/>
      <c r="G21" s="110"/>
      <c r="H21" s="110"/>
      <c r="I21" s="110"/>
      <c r="J21" s="110"/>
      <c r="K21" s="115"/>
      <c r="L21" s="115"/>
    </row>
    <row r="22" spans="1:12">
      <c r="A22" s="110"/>
      <c r="B22" s="113"/>
      <c r="C22" s="110"/>
      <c r="D22" s="110"/>
      <c r="E22" s="110"/>
      <c r="F22" s="110"/>
      <c r="G22" s="110"/>
      <c r="H22" s="110"/>
      <c r="I22" s="110"/>
      <c r="J22" s="110"/>
      <c r="K22" s="115"/>
      <c r="L22" s="115"/>
    </row>
    <row r="23" spans="1:12">
      <c r="A23" s="110"/>
      <c r="B23" s="113"/>
      <c r="C23" s="110"/>
      <c r="D23" s="110"/>
      <c r="E23" s="110"/>
      <c r="F23" s="110"/>
      <c r="G23" s="110"/>
      <c r="H23" s="110"/>
      <c r="I23" s="110"/>
      <c r="J23" s="110"/>
      <c r="K23" s="115"/>
      <c r="L23" s="115"/>
    </row>
    <row r="24" spans="1:12">
      <c r="A24" s="110"/>
      <c r="B24" s="113"/>
      <c r="C24" s="110"/>
      <c r="D24" s="110"/>
      <c r="E24" s="110"/>
      <c r="F24" s="110"/>
      <c r="G24" s="110"/>
      <c r="H24" s="110"/>
      <c r="I24" s="110"/>
      <c r="J24" s="110"/>
      <c r="K24" s="115"/>
      <c r="L24" s="115"/>
    </row>
    <row r="25" spans="1:12">
      <c r="A25" s="110"/>
      <c r="B25" s="113"/>
      <c r="C25" s="110"/>
      <c r="D25" s="110"/>
      <c r="E25" s="110"/>
      <c r="F25" s="110"/>
      <c r="G25" s="110"/>
      <c r="H25" s="110"/>
      <c r="I25" s="110"/>
      <c r="J25" s="110"/>
      <c r="K25" s="115"/>
      <c r="L25" s="115"/>
    </row>
    <row r="26" spans="1:12">
      <c r="A26" s="110"/>
      <c r="B26" s="113"/>
      <c r="C26" s="110"/>
      <c r="D26" s="110"/>
      <c r="E26" s="110"/>
      <c r="F26" s="110"/>
      <c r="G26" s="110"/>
      <c r="H26" s="110"/>
      <c r="I26" s="110"/>
      <c r="J26" s="110"/>
      <c r="K26" s="115"/>
      <c r="L26" s="115"/>
    </row>
    <row r="27" spans="1:12">
      <c r="A27" s="110"/>
      <c r="B27" s="113"/>
      <c r="C27" s="110"/>
      <c r="D27" s="110"/>
      <c r="E27" s="110"/>
      <c r="F27" s="110"/>
      <c r="G27" s="110"/>
      <c r="H27" s="110"/>
      <c r="I27" s="110"/>
      <c r="J27" s="110"/>
      <c r="K27" s="115"/>
      <c r="L27" s="115"/>
    </row>
    <row r="28" spans="1:12">
      <c r="A28" s="110"/>
      <c r="B28" s="113"/>
      <c r="C28" s="110"/>
      <c r="D28" s="110"/>
      <c r="E28" s="110"/>
      <c r="F28" s="110"/>
      <c r="G28" s="110"/>
      <c r="H28" s="110"/>
      <c r="I28" s="110"/>
      <c r="J28" s="110"/>
      <c r="K28" s="115"/>
      <c r="L28" s="115"/>
    </row>
    <row r="29" spans="1:12">
      <c r="A29" s="110"/>
      <c r="B29" s="113"/>
      <c r="C29" s="110"/>
      <c r="D29" s="110"/>
      <c r="E29" s="110"/>
      <c r="F29" s="110"/>
      <c r="G29" s="110"/>
      <c r="H29" s="110"/>
      <c r="I29" s="110"/>
      <c r="J29" s="110"/>
      <c r="K29" s="115"/>
      <c r="L29" s="115"/>
    </row>
    <row r="30" spans="1:12">
      <c r="A30" s="110"/>
      <c r="B30" s="113"/>
      <c r="C30" s="110"/>
      <c r="D30" s="110"/>
      <c r="E30" s="110"/>
      <c r="F30" s="110"/>
      <c r="G30" s="110"/>
      <c r="H30" s="110"/>
      <c r="I30" s="110"/>
      <c r="J30" s="110"/>
      <c r="K30" s="115"/>
      <c r="L30" s="115"/>
    </row>
    <row r="31" spans="1:12">
      <c r="A31" s="110"/>
      <c r="B31" s="113"/>
      <c r="C31" s="110"/>
      <c r="D31" s="110"/>
      <c r="E31" s="110"/>
      <c r="F31" s="110"/>
      <c r="G31" s="110"/>
      <c r="H31" s="110"/>
      <c r="I31" s="110"/>
      <c r="J31" s="110"/>
      <c r="K31" s="115"/>
      <c r="L31" s="115"/>
    </row>
    <row r="32" spans="1:12">
      <c r="A32" s="110"/>
      <c r="B32" s="113"/>
      <c r="C32" s="110"/>
      <c r="D32" s="110"/>
      <c r="E32" s="110"/>
      <c r="F32" s="110"/>
      <c r="G32" s="110"/>
      <c r="H32" s="110"/>
      <c r="I32" s="110"/>
      <c r="J32" s="110"/>
      <c r="K32" s="115"/>
      <c r="L32" s="115"/>
    </row>
    <row r="33" spans="1:12">
      <c r="A33" s="110"/>
      <c r="B33" s="113"/>
      <c r="C33" s="110"/>
      <c r="D33" s="110"/>
      <c r="E33" s="110"/>
      <c r="F33" s="110"/>
      <c r="G33" s="110"/>
      <c r="H33" s="110"/>
      <c r="I33" s="110"/>
      <c r="J33" s="110"/>
      <c r="K33" s="115"/>
      <c r="L33" s="115"/>
    </row>
    <row r="34" spans="1:12">
      <c r="A34" s="110"/>
      <c r="B34" s="113"/>
      <c r="C34" s="110"/>
      <c r="D34" s="110"/>
      <c r="E34" s="110"/>
      <c r="F34" s="110"/>
      <c r="G34" s="110"/>
      <c r="H34" s="110"/>
      <c r="I34" s="110"/>
      <c r="J34" s="110"/>
      <c r="K34" s="115"/>
      <c r="L34" s="115"/>
    </row>
    <row r="35" spans="1:12">
      <c r="A35" s="110"/>
      <c r="B35" s="113"/>
      <c r="C35" s="110"/>
      <c r="D35" s="110"/>
      <c r="E35" s="110"/>
      <c r="F35" s="110"/>
      <c r="G35" s="110"/>
      <c r="H35" s="110"/>
      <c r="I35" s="110"/>
      <c r="J35" s="110"/>
      <c r="K35" s="115"/>
      <c r="L35" s="115"/>
    </row>
    <row r="36" spans="1:12">
      <c r="A36" s="110"/>
      <c r="B36" s="113"/>
      <c r="C36" s="110"/>
      <c r="D36" s="110"/>
      <c r="E36" s="110"/>
      <c r="F36" s="110"/>
      <c r="G36" s="110"/>
      <c r="H36" s="110"/>
      <c r="I36" s="110"/>
      <c r="J36" s="110"/>
      <c r="K36" s="115"/>
      <c r="L36" s="115"/>
    </row>
    <row r="37" spans="1:12">
      <c r="A37" s="110"/>
      <c r="B37" s="113"/>
      <c r="C37" s="110"/>
      <c r="D37" s="110"/>
      <c r="E37" s="110"/>
      <c r="F37" s="110"/>
      <c r="G37" s="110"/>
      <c r="H37" s="110"/>
      <c r="I37" s="110"/>
      <c r="J37" s="110"/>
      <c r="K37" s="115"/>
      <c r="L37" s="115"/>
    </row>
    <row r="38" spans="1:12">
      <c r="A38" s="110"/>
      <c r="B38" s="113"/>
      <c r="C38" s="110"/>
      <c r="D38" s="110"/>
      <c r="E38" s="110"/>
      <c r="F38" s="110"/>
      <c r="G38" s="110"/>
      <c r="H38" s="110"/>
      <c r="I38" s="110"/>
      <c r="J38" s="110"/>
      <c r="K38" s="115"/>
      <c r="L38" s="115"/>
    </row>
    <row r="39" spans="1:12">
      <c r="A39" s="110"/>
      <c r="B39" s="113"/>
      <c r="C39" s="110"/>
      <c r="D39" s="110"/>
      <c r="E39" s="110"/>
      <c r="F39" s="110"/>
      <c r="G39" s="110"/>
      <c r="H39" s="110"/>
      <c r="I39" s="110"/>
      <c r="J39" s="110"/>
      <c r="K39" s="115"/>
      <c r="L39" s="115"/>
    </row>
    <row r="40" spans="1:12">
      <c r="A40" s="110"/>
      <c r="B40" s="113"/>
      <c r="C40" s="110"/>
      <c r="D40" s="110"/>
      <c r="E40" s="110"/>
      <c r="F40" s="110"/>
      <c r="G40" s="110"/>
      <c r="H40" s="110"/>
      <c r="I40" s="110"/>
      <c r="J40" s="110"/>
      <c r="K40" s="115"/>
      <c r="L40" s="115"/>
    </row>
    <row r="41" spans="1:12">
      <c r="A41" s="110"/>
      <c r="B41" s="113"/>
      <c r="C41" s="110"/>
      <c r="D41" s="110"/>
      <c r="E41" s="110"/>
      <c r="F41" s="110"/>
      <c r="G41" s="110"/>
      <c r="H41" s="110"/>
      <c r="I41" s="110"/>
      <c r="J41" s="110"/>
      <c r="K41" s="115"/>
      <c r="L41" s="115"/>
    </row>
    <row r="42" spans="1:12">
      <c r="A42" s="110"/>
      <c r="B42" s="113"/>
      <c r="C42" s="110"/>
      <c r="D42" s="110"/>
      <c r="E42" s="110"/>
      <c r="F42" s="110"/>
      <c r="G42" s="110"/>
      <c r="H42" s="110"/>
      <c r="I42" s="110"/>
      <c r="J42" s="110"/>
      <c r="K42" s="115"/>
      <c r="L42" s="115"/>
    </row>
    <row r="43" spans="1:12">
      <c r="A43" s="110"/>
      <c r="B43" s="113"/>
      <c r="C43" s="110"/>
      <c r="D43" s="110"/>
      <c r="E43" s="110"/>
      <c r="F43" s="110"/>
      <c r="G43" s="110"/>
      <c r="H43" s="110"/>
      <c r="I43" s="110"/>
      <c r="J43" s="110"/>
      <c r="K43" s="115"/>
      <c r="L43" s="115"/>
    </row>
    <row r="44" spans="1:12">
      <c r="A44" s="110"/>
      <c r="B44" s="113"/>
      <c r="C44" s="110"/>
      <c r="D44" s="110"/>
      <c r="E44" s="110"/>
      <c r="F44" s="110"/>
      <c r="G44" s="110"/>
      <c r="H44" s="110"/>
      <c r="I44" s="110"/>
      <c r="J44" s="110"/>
      <c r="K44" s="115"/>
      <c r="L44" s="115"/>
    </row>
    <row r="45" spans="1:12">
      <c r="A45" s="110"/>
      <c r="B45" s="113"/>
      <c r="C45" s="110"/>
      <c r="D45" s="110"/>
      <c r="E45" s="110"/>
      <c r="F45" s="110"/>
      <c r="G45" s="110"/>
      <c r="H45" s="110"/>
      <c r="I45" s="110"/>
      <c r="J45" s="110"/>
      <c r="K45" s="115"/>
      <c r="L45" s="115"/>
    </row>
    <row r="46" spans="1:12">
      <c r="A46" s="110"/>
      <c r="B46" s="113"/>
      <c r="C46" s="110"/>
      <c r="D46" s="110"/>
      <c r="E46" s="110"/>
      <c r="F46" s="110"/>
      <c r="G46" s="110"/>
      <c r="H46" s="110"/>
      <c r="I46" s="110"/>
      <c r="J46" s="110"/>
      <c r="K46" s="115"/>
      <c r="L46" s="115"/>
    </row>
    <row r="47" spans="1:12">
      <c r="A47" s="110"/>
      <c r="B47" s="113"/>
      <c r="C47" s="110"/>
      <c r="D47" s="110"/>
      <c r="E47" s="110"/>
      <c r="F47" s="110"/>
      <c r="G47" s="110"/>
      <c r="H47" s="110"/>
      <c r="I47" s="110"/>
      <c r="J47" s="110"/>
      <c r="K47" s="115"/>
      <c r="L47" s="115"/>
    </row>
    <row r="48" spans="1:12">
      <c r="A48" s="110"/>
      <c r="B48" s="113"/>
      <c r="C48" s="110"/>
      <c r="D48" s="110"/>
      <c r="E48" s="110"/>
      <c r="F48" s="110"/>
      <c r="G48" s="110"/>
      <c r="H48" s="110"/>
      <c r="I48" s="110"/>
      <c r="J48" s="110"/>
      <c r="K48" s="115"/>
      <c r="L48" s="115"/>
    </row>
    <row r="49" spans="1:12">
      <c r="A49" s="110"/>
      <c r="B49" s="113"/>
      <c r="C49" s="110"/>
      <c r="D49" s="110"/>
      <c r="E49" s="110"/>
      <c r="F49" s="110"/>
      <c r="G49" s="110"/>
      <c r="H49" s="110"/>
      <c r="I49" s="110"/>
      <c r="J49" s="110"/>
      <c r="K49" s="115"/>
      <c r="L49" s="115"/>
    </row>
    <row r="50" spans="1:12">
      <c r="A50" s="110"/>
      <c r="B50" s="113"/>
      <c r="C50" s="110"/>
      <c r="D50" s="110"/>
      <c r="E50" s="110"/>
      <c r="F50" s="110"/>
      <c r="G50" s="110"/>
      <c r="H50" s="110"/>
      <c r="I50" s="110"/>
      <c r="J50" s="110"/>
      <c r="K50" s="115"/>
      <c r="L50" s="115"/>
    </row>
    <row r="51" spans="1:12">
      <c r="A51" s="110"/>
      <c r="B51" s="113"/>
      <c r="C51" s="110"/>
      <c r="D51" s="110"/>
      <c r="E51" s="110"/>
      <c r="F51" s="110"/>
      <c r="G51" s="110"/>
      <c r="H51" s="110"/>
      <c r="I51" s="110"/>
      <c r="J51" s="110"/>
      <c r="K51" s="115"/>
      <c r="L51" s="115"/>
    </row>
    <row r="52" spans="1:12">
      <c r="A52" s="110"/>
      <c r="B52" s="113"/>
      <c r="C52" s="110"/>
      <c r="D52" s="110"/>
      <c r="E52" s="110"/>
      <c r="F52" s="110"/>
      <c r="G52" s="110"/>
      <c r="H52" s="110"/>
      <c r="I52" s="110"/>
      <c r="J52" s="110"/>
      <c r="K52" s="115"/>
      <c r="L52" s="115"/>
    </row>
    <row r="53" spans="1:12">
      <c r="A53" s="110"/>
      <c r="B53" s="113"/>
      <c r="C53" s="110"/>
      <c r="D53" s="110"/>
      <c r="E53" s="110"/>
      <c r="F53" s="110"/>
      <c r="G53" s="110"/>
      <c r="H53" s="110"/>
      <c r="I53" s="110"/>
      <c r="J53" s="110"/>
      <c r="K53" s="115"/>
      <c r="L53" s="115"/>
    </row>
    <row r="54" spans="1:12">
      <c r="A54" s="110"/>
      <c r="B54" s="113"/>
      <c r="C54" s="110"/>
      <c r="D54" s="110"/>
      <c r="E54" s="110"/>
      <c r="F54" s="110"/>
      <c r="G54" s="110"/>
      <c r="H54" s="110"/>
      <c r="I54" s="110"/>
      <c r="J54" s="110"/>
      <c r="K54" s="115"/>
      <c r="L54" s="115"/>
    </row>
    <row r="55" spans="1:12">
      <c r="A55" s="110"/>
      <c r="B55" s="113"/>
      <c r="C55" s="110"/>
      <c r="D55" s="110"/>
      <c r="E55" s="110"/>
      <c r="F55" s="110"/>
      <c r="G55" s="110"/>
      <c r="H55" s="110"/>
      <c r="I55" s="110"/>
      <c r="J55" s="110"/>
      <c r="K55" s="115"/>
      <c r="L55" s="115"/>
    </row>
    <row r="56" spans="1:12">
      <c r="A56" s="110"/>
      <c r="B56" s="113"/>
      <c r="C56" s="110"/>
      <c r="D56" s="110"/>
      <c r="E56" s="110"/>
      <c r="F56" s="110"/>
      <c r="G56" s="110"/>
      <c r="H56" s="110"/>
      <c r="I56" s="110"/>
      <c r="J56" s="110"/>
      <c r="K56" s="115"/>
      <c r="L56" s="115"/>
    </row>
    <row r="57" spans="1:12">
      <c r="A57" s="110"/>
      <c r="B57" s="113"/>
      <c r="C57" s="110"/>
      <c r="D57" s="110"/>
      <c r="E57" s="110"/>
      <c r="F57" s="110"/>
      <c r="G57" s="110"/>
      <c r="H57" s="110"/>
      <c r="I57" s="110"/>
      <c r="J57" s="110"/>
      <c r="K57" s="115"/>
      <c r="L57" s="115"/>
    </row>
    <row r="58" spans="1:12">
      <c r="A58" s="110"/>
      <c r="B58" s="113"/>
      <c r="C58" s="110"/>
      <c r="D58" s="110"/>
      <c r="E58" s="110"/>
      <c r="F58" s="110"/>
      <c r="G58" s="110"/>
      <c r="H58" s="110"/>
      <c r="I58" s="110"/>
      <c r="J58" s="110"/>
      <c r="K58" s="115"/>
      <c r="L58" s="115"/>
    </row>
    <row r="59" spans="1:12">
      <c r="A59" s="110"/>
      <c r="B59" s="113"/>
      <c r="C59" s="110"/>
      <c r="D59" s="110"/>
      <c r="E59" s="110"/>
      <c r="F59" s="110"/>
      <c r="G59" s="110"/>
      <c r="H59" s="110"/>
      <c r="I59" s="110"/>
      <c r="J59" s="110"/>
      <c r="K59" s="115"/>
      <c r="L59" s="115"/>
    </row>
    <row r="60" spans="1:12">
      <c r="A60" s="110"/>
      <c r="B60" s="113"/>
      <c r="C60" s="110"/>
      <c r="D60" s="110"/>
      <c r="E60" s="110"/>
      <c r="F60" s="110"/>
      <c r="G60" s="110"/>
      <c r="H60" s="110"/>
      <c r="I60" s="110"/>
      <c r="J60" s="110"/>
      <c r="K60" s="115"/>
      <c r="L60" s="115"/>
    </row>
    <row r="61" spans="1:12">
      <c r="A61" s="110"/>
      <c r="B61" s="113"/>
      <c r="C61" s="110"/>
      <c r="D61" s="110"/>
      <c r="E61" s="110"/>
      <c r="F61" s="110"/>
      <c r="G61" s="110"/>
      <c r="H61" s="110"/>
      <c r="I61" s="110"/>
      <c r="J61" s="110"/>
      <c r="K61" s="115"/>
      <c r="L61" s="115"/>
    </row>
    <row r="62" spans="1:12">
      <c r="A62" s="110"/>
      <c r="B62" s="113"/>
      <c r="C62" s="110"/>
      <c r="D62" s="110"/>
      <c r="E62" s="110"/>
      <c r="F62" s="110"/>
      <c r="G62" s="110"/>
      <c r="H62" s="110"/>
      <c r="I62" s="110"/>
      <c r="J62" s="110"/>
      <c r="K62" s="115"/>
      <c r="L62" s="115"/>
    </row>
    <row r="63" spans="1:12">
      <c r="A63" s="110"/>
      <c r="B63" s="113"/>
      <c r="C63" s="110"/>
      <c r="D63" s="110"/>
      <c r="E63" s="110"/>
      <c r="F63" s="110"/>
      <c r="G63" s="110"/>
      <c r="H63" s="110"/>
      <c r="I63" s="110"/>
      <c r="J63" s="110"/>
      <c r="K63" s="115"/>
      <c r="L63" s="115"/>
    </row>
    <row r="64" spans="1:12">
      <c r="A64" s="110"/>
      <c r="B64" s="113"/>
      <c r="C64" s="110"/>
      <c r="D64" s="110"/>
      <c r="E64" s="110"/>
      <c r="F64" s="110"/>
      <c r="G64" s="110"/>
      <c r="H64" s="110"/>
      <c r="I64" s="110"/>
      <c r="J64" s="110"/>
      <c r="K64" s="115"/>
      <c r="L64" s="115"/>
    </row>
    <row r="65" spans="1:12">
      <c r="A65" s="110"/>
      <c r="B65" s="113"/>
      <c r="C65" s="110"/>
      <c r="D65" s="110"/>
      <c r="E65" s="110"/>
      <c r="F65" s="110"/>
      <c r="G65" s="110"/>
      <c r="H65" s="110"/>
      <c r="I65" s="110"/>
      <c r="J65" s="110"/>
      <c r="K65" s="115"/>
      <c r="L65" s="115"/>
    </row>
    <row r="66" spans="1:12">
      <c r="A66" s="110"/>
      <c r="B66" s="113"/>
      <c r="C66" s="110"/>
      <c r="D66" s="110"/>
      <c r="E66" s="110"/>
      <c r="F66" s="110"/>
      <c r="G66" s="110"/>
      <c r="H66" s="110"/>
      <c r="I66" s="110"/>
      <c r="J66" s="110"/>
      <c r="K66" s="115"/>
      <c r="L66" s="115"/>
    </row>
    <row r="67" spans="1:12">
      <c r="A67" s="110"/>
      <c r="B67" s="113"/>
      <c r="C67" s="110"/>
      <c r="D67" s="110"/>
      <c r="E67" s="110"/>
      <c r="F67" s="110"/>
      <c r="G67" s="110"/>
      <c r="H67" s="110"/>
      <c r="I67" s="110"/>
      <c r="J67" s="110"/>
      <c r="K67" s="115"/>
      <c r="L67" s="115"/>
    </row>
    <row r="68" spans="1:12">
      <c r="A68" s="110"/>
      <c r="B68" s="113"/>
      <c r="C68" s="110"/>
      <c r="D68" s="110"/>
      <c r="E68" s="110"/>
      <c r="F68" s="110"/>
      <c r="G68" s="110"/>
      <c r="H68" s="110"/>
      <c r="I68" s="110"/>
      <c r="J68" s="110"/>
      <c r="K68" s="115"/>
      <c r="L68" s="115"/>
    </row>
    <row r="69" spans="1:12">
      <c r="A69" s="110"/>
      <c r="B69" s="113"/>
      <c r="C69" s="110"/>
      <c r="D69" s="110"/>
      <c r="E69" s="110"/>
      <c r="F69" s="110"/>
      <c r="G69" s="110"/>
      <c r="H69" s="110"/>
      <c r="I69" s="110"/>
      <c r="J69" s="110"/>
      <c r="K69" s="115"/>
      <c r="L69" s="115"/>
    </row>
    <row r="70" spans="1:12">
      <c r="A70" s="110"/>
      <c r="B70" s="113"/>
      <c r="C70" s="110"/>
      <c r="D70" s="110"/>
      <c r="E70" s="110"/>
      <c r="F70" s="110"/>
      <c r="G70" s="110"/>
      <c r="H70" s="110"/>
      <c r="I70" s="110"/>
      <c r="J70" s="110"/>
      <c r="K70" s="115"/>
      <c r="L70" s="115"/>
    </row>
    <row r="71" spans="1:12">
      <c r="A71" s="110"/>
      <c r="B71" s="113"/>
      <c r="C71" s="110"/>
      <c r="D71" s="110"/>
      <c r="E71" s="110"/>
      <c r="F71" s="110"/>
      <c r="G71" s="110"/>
      <c r="H71" s="110"/>
      <c r="I71" s="110"/>
      <c r="J71" s="110"/>
      <c r="K71" s="115"/>
      <c r="L71" s="115"/>
    </row>
    <row r="72" spans="1:12">
      <c r="A72" s="110"/>
      <c r="B72" s="113"/>
      <c r="C72" s="110"/>
      <c r="D72" s="110"/>
      <c r="E72" s="110"/>
      <c r="F72" s="110"/>
      <c r="G72" s="110"/>
      <c r="H72" s="110"/>
      <c r="I72" s="110"/>
      <c r="J72" s="110"/>
      <c r="K72" s="115"/>
      <c r="L72" s="115"/>
    </row>
    <row r="73" spans="1:12">
      <c r="A73" s="110"/>
      <c r="B73" s="113"/>
      <c r="C73" s="110"/>
      <c r="D73" s="110"/>
      <c r="E73" s="110"/>
      <c r="F73" s="110"/>
      <c r="G73" s="110"/>
      <c r="H73" s="110"/>
      <c r="I73" s="110"/>
      <c r="J73" s="110"/>
      <c r="K73" s="115"/>
      <c r="L73" s="115"/>
    </row>
    <row r="74" spans="1:12">
      <c r="A74" s="110"/>
      <c r="B74" s="113"/>
      <c r="C74" s="110"/>
      <c r="D74" s="110"/>
      <c r="E74" s="110"/>
      <c r="F74" s="110"/>
      <c r="G74" s="110"/>
      <c r="H74" s="110"/>
      <c r="I74" s="110"/>
      <c r="J74" s="110"/>
      <c r="K74" s="115"/>
      <c r="L74" s="115"/>
    </row>
    <row r="75" spans="1:12">
      <c r="A75" s="110"/>
      <c r="B75" s="113"/>
      <c r="C75" s="110"/>
      <c r="D75" s="110"/>
      <c r="E75" s="110"/>
      <c r="F75" s="110"/>
      <c r="G75" s="110"/>
      <c r="H75" s="110"/>
      <c r="I75" s="110"/>
      <c r="J75" s="110"/>
      <c r="K75" s="115"/>
      <c r="L75" s="115"/>
    </row>
    <row r="76" spans="1:12">
      <c r="A76" s="110"/>
      <c r="B76" s="113"/>
      <c r="C76" s="110"/>
      <c r="D76" s="110"/>
      <c r="E76" s="110"/>
      <c r="F76" s="110"/>
      <c r="G76" s="110"/>
      <c r="H76" s="110"/>
      <c r="I76" s="110"/>
      <c r="J76" s="110"/>
      <c r="K76" s="115"/>
      <c r="L76" s="115"/>
    </row>
    <row r="77" spans="1:12">
      <c r="A77" s="110"/>
      <c r="B77" s="113"/>
      <c r="C77" s="110"/>
      <c r="D77" s="110"/>
      <c r="E77" s="110"/>
      <c r="F77" s="110"/>
      <c r="G77" s="110"/>
      <c r="H77" s="110"/>
      <c r="I77" s="110"/>
      <c r="J77" s="110"/>
      <c r="K77" s="115"/>
      <c r="L77" s="115"/>
    </row>
    <row r="78" spans="1:12">
      <c r="A78" s="110"/>
      <c r="B78" s="113"/>
      <c r="C78" s="110"/>
      <c r="D78" s="110"/>
      <c r="E78" s="110"/>
      <c r="F78" s="110"/>
      <c r="G78" s="110"/>
      <c r="H78" s="110"/>
      <c r="I78" s="110"/>
      <c r="J78" s="110"/>
      <c r="K78" s="115"/>
      <c r="L78" s="115"/>
    </row>
    <row r="79" spans="1:12">
      <c r="A79" s="110"/>
      <c r="B79" s="113"/>
      <c r="C79" s="110"/>
      <c r="D79" s="110"/>
      <c r="E79" s="110"/>
      <c r="F79" s="110"/>
      <c r="G79" s="110"/>
      <c r="H79" s="110"/>
      <c r="I79" s="110"/>
      <c r="J79" s="110"/>
      <c r="K79" s="115"/>
      <c r="L79" s="115"/>
    </row>
    <row r="80" spans="1:12">
      <c r="A80" s="110"/>
      <c r="B80" s="113"/>
      <c r="C80" s="110"/>
      <c r="D80" s="110"/>
      <c r="E80" s="110"/>
      <c r="F80" s="110"/>
      <c r="G80" s="110"/>
      <c r="H80" s="110"/>
      <c r="I80" s="110"/>
      <c r="J80" s="110"/>
      <c r="K80" s="115"/>
      <c r="L80" s="115"/>
    </row>
    <row r="81" spans="1:12">
      <c r="A81" s="110"/>
      <c r="B81" s="113"/>
      <c r="C81" s="110"/>
      <c r="D81" s="110"/>
      <c r="E81" s="110"/>
      <c r="F81" s="110"/>
      <c r="G81" s="110"/>
      <c r="H81" s="110"/>
      <c r="I81" s="110"/>
      <c r="J81" s="110"/>
      <c r="K81" s="115"/>
      <c r="L81" s="115"/>
    </row>
    <row r="82" spans="1:12">
      <c r="A82" s="110"/>
      <c r="B82" s="113"/>
      <c r="C82" s="110"/>
      <c r="D82" s="110"/>
      <c r="E82" s="110"/>
      <c r="F82" s="110"/>
      <c r="G82" s="110"/>
      <c r="H82" s="110"/>
      <c r="I82" s="110"/>
      <c r="J82" s="110"/>
      <c r="K82" s="115"/>
      <c r="L82" s="115"/>
    </row>
    <row r="83" spans="1:12">
      <c r="A83" s="110"/>
      <c r="B83" s="113"/>
      <c r="C83" s="110"/>
      <c r="D83" s="110"/>
      <c r="E83" s="110"/>
      <c r="F83" s="110"/>
      <c r="G83" s="110"/>
      <c r="H83" s="110"/>
      <c r="I83" s="110"/>
      <c r="J83" s="110"/>
      <c r="K83" s="115"/>
      <c r="L83" s="115"/>
    </row>
    <row r="84" spans="1:12">
      <c r="A84" s="110"/>
      <c r="B84" s="113"/>
      <c r="C84" s="110"/>
      <c r="D84" s="110"/>
      <c r="E84" s="110"/>
      <c r="F84" s="110"/>
      <c r="G84" s="110"/>
      <c r="H84" s="110"/>
      <c r="I84" s="110"/>
      <c r="J84" s="110"/>
      <c r="K84" s="115"/>
      <c r="L84" s="115"/>
    </row>
    <row r="85" spans="1:12">
      <c r="A85" s="110"/>
      <c r="B85" s="113"/>
      <c r="C85" s="110"/>
      <c r="D85" s="110"/>
      <c r="E85" s="110"/>
      <c r="F85" s="110"/>
      <c r="G85" s="110"/>
      <c r="H85" s="110"/>
      <c r="I85" s="110"/>
      <c r="J85" s="110"/>
      <c r="K85" s="115"/>
      <c r="L85" s="115"/>
    </row>
    <row r="86" spans="1:12">
      <c r="A86" s="110"/>
      <c r="B86" s="113"/>
      <c r="C86" s="110"/>
      <c r="D86" s="110"/>
      <c r="E86" s="110"/>
      <c r="F86" s="110"/>
      <c r="G86" s="110"/>
      <c r="H86" s="110"/>
      <c r="I86" s="110"/>
      <c r="J86" s="110"/>
      <c r="K86" s="115"/>
      <c r="L86" s="115"/>
    </row>
    <row r="87" spans="1:12">
      <c r="A87" s="110"/>
      <c r="B87" s="113"/>
      <c r="C87" s="110"/>
      <c r="D87" s="110"/>
      <c r="E87" s="110"/>
      <c r="F87" s="110"/>
      <c r="G87" s="110"/>
      <c r="H87" s="110"/>
      <c r="I87" s="110"/>
      <c r="J87" s="110"/>
      <c r="K87" s="115"/>
      <c r="L87" s="115"/>
    </row>
    <row r="88" spans="1:12">
      <c r="A88" s="110"/>
      <c r="B88" s="113"/>
      <c r="C88" s="110"/>
      <c r="D88" s="110"/>
      <c r="E88" s="110"/>
      <c r="F88" s="110"/>
      <c r="G88" s="110"/>
      <c r="H88" s="110"/>
      <c r="I88" s="110"/>
      <c r="J88" s="110"/>
      <c r="K88" s="115"/>
      <c r="L88" s="115"/>
    </row>
    <row r="89" spans="1:12">
      <c r="A89" s="110"/>
      <c r="B89" s="113"/>
      <c r="C89" s="110"/>
      <c r="D89" s="110"/>
      <c r="E89" s="110"/>
      <c r="F89" s="110"/>
      <c r="G89" s="110"/>
      <c r="H89" s="110"/>
      <c r="I89" s="110"/>
      <c r="J89" s="110"/>
      <c r="K89" s="115"/>
      <c r="L89" s="115"/>
    </row>
    <row r="90" spans="1:12">
      <c r="A90" s="110"/>
      <c r="B90" s="113"/>
      <c r="C90" s="110"/>
      <c r="D90" s="110"/>
      <c r="E90" s="110"/>
      <c r="F90" s="110"/>
      <c r="G90" s="110"/>
      <c r="H90" s="110"/>
      <c r="I90" s="110"/>
      <c r="J90" s="110"/>
      <c r="K90" s="115"/>
      <c r="L90" s="115"/>
    </row>
    <row r="91" spans="1:12">
      <c r="A91" s="110"/>
      <c r="B91" s="113"/>
      <c r="C91" s="110"/>
      <c r="D91" s="110"/>
      <c r="E91" s="110"/>
      <c r="F91" s="110"/>
      <c r="G91" s="110"/>
      <c r="H91" s="110"/>
      <c r="I91" s="110"/>
      <c r="J91" s="110"/>
      <c r="K91" s="115"/>
      <c r="L91" s="115"/>
    </row>
    <row r="92" spans="1:12">
      <c r="A92" s="110"/>
      <c r="B92" s="113"/>
      <c r="C92" s="110"/>
      <c r="D92" s="110"/>
      <c r="E92" s="110"/>
      <c r="F92" s="110"/>
      <c r="G92" s="110"/>
      <c r="H92" s="110"/>
      <c r="I92" s="110"/>
      <c r="J92" s="110"/>
      <c r="K92" s="115"/>
      <c r="L92" s="115"/>
    </row>
    <row r="93" spans="1:12">
      <c r="A93" s="110"/>
      <c r="B93" s="113"/>
      <c r="C93" s="110"/>
      <c r="D93" s="110"/>
      <c r="E93" s="110"/>
      <c r="F93" s="110"/>
      <c r="G93" s="110"/>
      <c r="H93" s="110"/>
      <c r="I93" s="110"/>
      <c r="J93" s="110"/>
      <c r="K93" s="115"/>
      <c r="L93" s="115"/>
    </row>
    <row r="94" spans="1:12">
      <c r="A94" s="110"/>
      <c r="B94" s="113"/>
      <c r="C94" s="110"/>
      <c r="D94" s="110"/>
      <c r="E94" s="110"/>
      <c r="F94" s="110"/>
      <c r="G94" s="110"/>
      <c r="H94" s="110"/>
      <c r="I94" s="110"/>
      <c r="J94" s="110"/>
      <c r="K94" s="115"/>
      <c r="L94" s="115"/>
    </row>
    <row r="95" spans="1:12">
      <c r="A95" s="110"/>
      <c r="B95" s="113"/>
      <c r="C95" s="110"/>
      <c r="D95" s="110"/>
      <c r="E95" s="110"/>
      <c r="F95" s="110"/>
      <c r="G95" s="110"/>
      <c r="H95" s="110"/>
      <c r="I95" s="110"/>
      <c r="J95" s="110"/>
      <c r="K95" s="115"/>
      <c r="L95" s="115"/>
    </row>
    <row r="96" spans="1:12">
      <c r="A96" s="110"/>
      <c r="B96" s="113"/>
      <c r="C96" s="110"/>
      <c r="D96" s="110"/>
      <c r="E96" s="110"/>
      <c r="F96" s="110"/>
      <c r="G96" s="110"/>
      <c r="H96" s="110"/>
      <c r="I96" s="110"/>
      <c r="J96" s="110"/>
      <c r="K96" s="115"/>
      <c r="L96" s="115"/>
    </row>
    <row r="97" spans="1:12">
      <c r="A97" s="110"/>
      <c r="B97" s="113"/>
      <c r="C97" s="110"/>
      <c r="D97" s="110"/>
      <c r="E97" s="110"/>
      <c r="F97" s="110"/>
      <c r="G97" s="110"/>
      <c r="H97" s="110"/>
      <c r="I97" s="110"/>
      <c r="J97" s="110"/>
      <c r="K97" s="115"/>
      <c r="L97" s="115"/>
    </row>
    <row r="98" spans="1:12">
      <c r="A98" s="110"/>
      <c r="B98" s="113"/>
      <c r="C98" s="110"/>
      <c r="D98" s="110"/>
      <c r="E98" s="110"/>
      <c r="F98" s="110"/>
      <c r="G98" s="110"/>
      <c r="H98" s="110"/>
      <c r="I98" s="110"/>
      <c r="J98" s="110"/>
      <c r="K98" s="115"/>
      <c r="L98" s="115"/>
    </row>
    <row r="99" spans="1:12">
      <c r="A99" s="110"/>
      <c r="B99" s="113"/>
      <c r="C99" s="110"/>
      <c r="D99" s="110"/>
      <c r="E99" s="110"/>
      <c r="F99" s="110"/>
      <c r="G99" s="110"/>
      <c r="H99" s="110"/>
      <c r="I99" s="110"/>
      <c r="J99" s="110"/>
      <c r="K99" s="115"/>
      <c r="L99" s="115"/>
    </row>
    <row r="100" spans="1:12">
      <c r="A100" s="110"/>
      <c r="B100" s="113"/>
      <c r="C100" s="110"/>
      <c r="D100" s="110"/>
      <c r="E100" s="110"/>
      <c r="F100" s="110"/>
      <c r="G100" s="110"/>
      <c r="H100" s="110"/>
      <c r="I100" s="110"/>
      <c r="J100" s="110"/>
      <c r="K100" s="115"/>
      <c r="L100" s="115"/>
    </row>
    <row r="101" spans="1:12">
      <c r="A101" s="110"/>
      <c r="B101" s="113"/>
      <c r="C101" s="110"/>
      <c r="D101" s="110"/>
      <c r="E101" s="110"/>
      <c r="F101" s="110"/>
      <c r="G101" s="110"/>
      <c r="H101" s="110"/>
      <c r="I101" s="110"/>
      <c r="J101" s="110"/>
      <c r="K101" s="115"/>
      <c r="L101" s="115"/>
    </row>
    <row r="102" spans="1:12">
      <c r="A102" s="110"/>
      <c r="B102" s="113"/>
      <c r="C102" s="110"/>
      <c r="D102" s="110"/>
      <c r="E102" s="110"/>
      <c r="F102" s="110"/>
      <c r="G102" s="110"/>
      <c r="H102" s="110"/>
      <c r="I102" s="110"/>
      <c r="J102" s="110"/>
      <c r="K102" s="115"/>
      <c r="L102" s="115"/>
    </row>
    <row r="103" spans="1:12">
      <c r="A103" s="110"/>
      <c r="B103" s="113"/>
      <c r="C103" s="110"/>
      <c r="D103" s="110"/>
      <c r="E103" s="110"/>
      <c r="F103" s="110"/>
      <c r="G103" s="110"/>
      <c r="H103" s="110"/>
      <c r="I103" s="110"/>
      <c r="J103" s="110"/>
      <c r="K103" s="115"/>
      <c r="L103" s="115"/>
    </row>
    <row r="104" spans="1:12">
      <c r="A104" s="110"/>
      <c r="B104" s="113"/>
      <c r="C104" s="110"/>
      <c r="D104" s="110"/>
      <c r="E104" s="110"/>
      <c r="F104" s="110"/>
      <c r="G104" s="110"/>
      <c r="H104" s="110"/>
      <c r="I104" s="110"/>
      <c r="J104" s="110"/>
      <c r="K104" s="115"/>
      <c r="L104" s="115"/>
    </row>
    <row r="105" spans="1:12">
      <c r="A105" s="110"/>
      <c r="B105" s="113"/>
      <c r="C105" s="110"/>
      <c r="D105" s="110"/>
      <c r="E105" s="110"/>
      <c r="F105" s="110"/>
      <c r="G105" s="110"/>
      <c r="H105" s="110"/>
      <c r="I105" s="110"/>
      <c r="J105" s="110"/>
      <c r="K105" s="115"/>
      <c r="L105" s="115"/>
    </row>
    <row r="106" spans="1:12">
      <c r="A106" s="110"/>
      <c r="B106" s="113"/>
      <c r="C106" s="110"/>
      <c r="D106" s="110"/>
      <c r="E106" s="110"/>
      <c r="F106" s="110"/>
      <c r="G106" s="110"/>
      <c r="H106" s="110"/>
      <c r="I106" s="110"/>
      <c r="J106" s="110"/>
      <c r="K106" s="115"/>
      <c r="L106" s="115"/>
    </row>
    <row r="107" spans="1:12">
      <c r="A107" s="110"/>
      <c r="B107" s="113"/>
      <c r="C107" s="110"/>
      <c r="D107" s="110"/>
      <c r="E107" s="110"/>
      <c r="F107" s="110"/>
      <c r="G107" s="110"/>
      <c r="H107" s="110"/>
      <c r="I107" s="110"/>
      <c r="J107" s="110"/>
      <c r="K107" s="115"/>
      <c r="L107" s="115"/>
    </row>
    <row r="108" spans="1:12">
      <c r="A108" s="110"/>
      <c r="B108" s="113"/>
      <c r="C108" s="110"/>
      <c r="D108" s="110"/>
      <c r="E108" s="110"/>
      <c r="F108" s="110"/>
      <c r="G108" s="110"/>
      <c r="H108" s="110"/>
      <c r="I108" s="110"/>
      <c r="J108" s="110"/>
      <c r="K108" s="115"/>
      <c r="L108" s="115"/>
    </row>
    <row r="109" spans="1:12">
      <c r="A109" s="110"/>
      <c r="B109" s="113"/>
      <c r="C109" s="110"/>
      <c r="D109" s="110"/>
      <c r="E109" s="110"/>
      <c r="F109" s="110"/>
      <c r="G109" s="110"/>
      <c r="H109" s="110"/>
      <c r="I109" s="110"/>
      <c r="J109" s="110"/>
      <c r="K109" s="115"/>
      <c r="L109" s="115"/>
    </row>
    <row r="110" spans="1:12">
      <c r="A110" s="110"/>
      <c r="B110" s="113"/>
      <c r="C110" s="110"/>
      <c r="D110" s="110"/>
      <c r="E110" s="110"/>
      <c r="F110" s="110"/>
      <c r="G110" s="110"/>
      <c r="H110" s="110"/>
      <c r="I110" s="110"/>
      <c r="J110" s="110"/>
      <c r="K110" s="115"/>
      <c r="L110" s="115"/>
    </row>
    <row r="111" spans="1:12">
      <c r="A111" s="110"/>
      <c r="B111" s="113"/>
      <c r="C111" s="110"/>
      <c r="D111" s="110"/>
      <c r="E111" s="110"/>
      <c r="F111" s="110"/>
      <c r="G111" s="110"/>
      <c r="H111" s="110"/>
      <c r="I111" s="110"/>
      <c r="J111" s="110"/>
      <c r="K111" s="115"/>
      <c r="L111" s="115"/>
    </row>
    <row r="112" spans="1:12">
      <c r="A112" s="110"/>
      <c r="B112" s="113"/>
      <c r="C112" s="110"/>
      <c r="D112" s="110"/>
      <c r="E112" s="110"/>
      <c r="F112" s="110"/>
      <c r="G112" s="110"/>
      <c r="H112" s="110"/>
      <c r="I112" s="110"/>
      <c r="J112" s="110"/>
      <c r="K112" s="115"/>
      <c r="L112" s="115"/>
    </row>
    <row r="113" spans="1:12">
      <c r="A113" s="110"/>
      <c r="B113" s="113"/>
      <c r="C113" s="110"/>
      <c r="D113" s="110"/>
      <c r="E113" s="110"/>
      <c r="F113" s="110"/>
      <c r="G113" s="110"/>
      <c r="H113" s="110"/>
      <c r="I113" s="110"/>
      <c r="J113" s="110"/>
      <c r="K113" s="115"/>
      <c r="L113" s="115"/>
    </row>
    <row r="114" spans="1:12">
      <c r="A114" s="110"/>
      <c r="B114" s="113"/>
      <c r="C114" s="110"/>
      <c r="D114" s="110"/>
      <c r="E114" s="110"/>
      <c r="F114" s="110"/>
      <c r="G114" s="110"/>
      <c r="H114" s="110"/>
      <c r="I114" s="110"/>
      <c r="J114" s="110"/>
      <c r="K114" s="115"/>
      <c r="L114" s="115"/>
    </row>
    <row r="115" spans="1:12">
      <c r="A115" s="110"/>
      <c r="B115" s="113"/>
      <c r="C115" s="110"/>
      <c r="D115" s="110"/>
      <c r="E115" s="110"/>
      <c r="F115" s="110"/>
      <c r="G115" s="110"/>
      <c r="H115" s="110"/>
      <c r="I115" s="110"/>
      <c r="J115" s="110"/>
      <c r="K115" s="115"/>
      <c r="L115" s="115"/>
    </row>
    <row r="116" spans="1:12">
      <c r="A116" s="110"/>
      <c r="B116" s="113"/>
      <c r="C116" s="110"/>
      <c r="D116" s="110"/>
      <c r="E116" s="110"/>
      <c r="F116" s="110"/>
      <c r="G116" s="110"/>
      <c r="H116" s="110"/>
      <c r="I116" s="110"/>
      <c r="J116" s="110"/>
      <c r="K116" s="115"/>
      <c r="L116" s="115"/>
    </row>
    <row r="117" spans="1:12">
      <c r="A117" s="110"/>
      <c r="B117" s="113"/>
      <c r="C117" s="110"/>
      <c r="D117" s="110"/>
      <c r="E117" s="110"/>
      <c r="F117" s="110"/>
      <c r="G117" s="110"/>
      <c r="H117" s="110"/>
      <c r="I117" s="110"/>
      <c r="J117" s="110"/>
      <c r="K117" s="115"/>
      <c r="L117" s="115"/>
    </row>
    <row r="118" spans="1:12">
      <c r="A118" s="110"/>
      <c r="B118" s="113"/>
      <c r="C118" s="110"/>
      <c r="D118" s="110"/>
      <c r="E118" s="110"/>
      <c r="F118" s="110"/>
      <c r="G118" s="110"/>
      <c r="H118" s="110"/>
      <c r="I118" s="110"/>
      <c r="J118" s="110"/>
      <c r="K118" s="115"/>
      <c r="L118" s="115"/>
    </row>
    <row r="119" spans="1:12">
      <c r="A119" s="110"/>
      <c r="B119" s="113"/>
      <c r="C119" s="110"/>
      <c r="D119" s="110"/>
      <c r="E119" s="110"/>
      <c r="F119" s="110"/>
      <c r="G119" s="110"/>
      <c r="H119" s="110"/>
      <c r="I119" s="110"/>
      <c r="J119" s="110"/>
      <c r="K119" s="115"/>
      <c r="L119" s="115"/>
    </row>
    <row r="120" spans="1:12">
      <c r="A120" s="110"/>
      <c r="B120" s="113"/>
      <c r="C120" s="110"/>
      <c r="D120" s="110"/>
      <c r="E120" s="110"/>
      <c r="F120" s="110"/>
      <c r="G120" s="110"/>
      <c r="H120" s="110"/>
      <c r="I120" s="110"/>
      <c r="J120" s="110"/>
      <c r="K120" s="115"/>
      <c r="L120" s="115"/>
    </row>
    <row r="121" spans="1:12">
      <c r="A121" s="110"/>
      <c r="B121" s="113"/>
      <c r="C121" s="110"/>
      <c r="D121" s="110"/>
      <c r="E121" s="110"/>
      <c r="F121" s="110"/>
      <c r="G121" s="110"/>
      <c r="H121" s="110"/>
      <c r="I121" s="110"/>
      <c r="J121" s="110"/>
      <c r="K121" s="115"/>
      <c r="L121" s="115"/>
    </row>
    <row r="122" spans="1:12">
      <c r="A122" s="110"/>
      <c r="B122" s="113"/>
      <c r="C122" s="110"/>
      <c r="D122" s="110"/>
      <c r="E122" s="110"/>
      <c r="F122" s="110"/>
      <c r="G122" s="110"/>
      <c r="H122" s="110"/>
      <c r="I122" s="110"/>
      <c r="J122" s="110"/>
      <c r="K122" s="115"/>
      <c r="L122" s="115"/>
    </row>
    <row r="123" spans="1:12">
      <c r="A123" s="110"/>
      <c r="B123" s="113"/>
      <c r="C123" s="110"/>
      <c r="D123" s="110"/>
      <c r="E123" s="110"/>
      <c r="F123" s="110"/>
      <c r="G123" s="110"/>
      <c r="H123" s="110"/>
      <c r="I123" s="110"/>
      <c r="J123" s="110"/>
      <c r="K123" s="115"/>
      <c r="L123" s="115"/>
    </row>
    <row r="124" spans="1:12">
      <c r="A124" s="110"/>
      <c r="B124" s="113"/>
      <c r="C124" s="110"/>
      <c r="D124" s="110"/>
      <c r="E124" s="110"/>
      <c r="F124" s="110"/>
      <c r="G124" s="110"/>
      <c r="H124" s="110"/>
      <c r="I124" s="110"/>
      <c r="J124" s="110"/>
      <c r="K124" s="115"/>
      <c r="L124" s="115"/>
    </row>
    <row r="125" spans="1:12">
      <c r="A125" s="110"/>
      <c r="B125" s="113"/>
      <c r="C125" s="110"/>
      <c r="D125" s="110"/>
      <c r="E125" s="110"/>
      <c r="F125" s="110"/>
      <c r="G125" s="110"/>
      <c r="H125" s="110"/>
      <c r="I125" s="110"/>
      <c r="J125" s="110"/>
      <c r="K125" s="115"/>
      <c r="L125" s="115"/>
    </row>
    <row r="126" spans="1:12">
      <c r="A126" s="110"/>
      <c r="B126" s="113"/>
      <c r="C126" s="110"/>
      <c r="D126" s="110"/>
      <c r="E126" s="110"/>
      <c r="F126" s="110"/>
      <c r="G126" s="110"/>
      <c r="H126" s="110"/>
      <c r="I126" s="110"/>
      <c r="J126" s="110"/>
      <c r="K126" s="115"/>
      <c r="L126" s="115"/>
    </row>
    <row r="127" spans="1:12">
      <c r="A127" s="110"/>
      <c r="B127" s="113"/>
      <c r="C127" s="110"/>
      <c r="D127" s="110"/>
      <c r="E127" s="110"/>
      <c r="F127" s="110"/>
      <c r="G127" s="110"/>
      <c r="H127" s="110"/>
      <c r="I127" s="110"/>
      <c r="J127" s="110"/>
      <c r="K127" s="115"/>
      <c r="L127" s="115"/>
    </row>
    <row r="128" spans="1:12">
      <c r="A128" s="110"/>
      <c r="B128" s="113"/>
      <c r="C128" s="110"/>
      <c r="D128" s="110"/>
      <c r="E128" s="110"/>
      <c r="F128" s="110"/>
      <c r="G128" s="110"/>
      <c r="H128" s="110"/>
      <c r="I128" s="110"/>
      <c r="J128" s="110"/>
      <c r="K128" s="115"/>
      <c r="L128" s="115"/>
    </row>
    <row r="129" spans="1:12">
      <c r="A129" s="110"/>
      <c r="B129" s="113"/>
      <c r="C129" s="110"/>
      <c r="D129" s="110"/>
      <c r="E129" s="110"/>
      <c r="F129" s="110"/>
      <c r="G129" s="110"/>
      <c r="H129" s="110"/>
      <c r="I129" s="110"/>
      <c r="J129" s="110"/>
      <c r="K129" s="115"/>
      <c r="L129" s="115"/>
    </row>
    <row r="130" spans="1:12">
      <c r="A130" s="110"/>
      <c r="B130" s="113"/>
      <c r="C130" s="110"/>
      <c r="D130" s="110"/>
      <c r="E130" s="110"/>
      <c r="F130" s="110"/>
      <c r="G130" s="110"/>
      <c r="H130" s="110"/>
      <c r="I130" s="110"/>
      <c r="J130" s="110"/>
      <c r="K130" s="115"/>
      <c r="L130" s="115"/>
    </row>
    <row r="131" spans="1:12">
      <c r="A131" s="110"/>
      <c r="B131" s="113"/>
      <c r="C131" s="110"/>
      <c r="D131" s="110"/>
      <c r="E131" s="110"/>
      <c r="F131" s="110"/>
      <c r="G131" s="110"/>
      <c r="H131" s="110"/>
      <c r="I131" s="110"/>
      <c r="J131" s="110"/>
      <c r="K131" s="115"/>
      <c r="L131" s="115"/>
    </row>
    <row r="132" spans="1:12">
      <c r="A132" s="110"/>
      <c r="B132" s="113"/>
      <c r="C132" s="110"/>
      <c r="D132" s="110"/>
      <c r="E132" s="110"/>
      <c r="F132" s="110"/>
      <c r="G132" s="110"/>
      <c r="H132" s="110"/>
      <c r="I132" s="110"/>
      <c r="J132" s="110"/>
      <c r="K132" s="115"/>
      <c r="L132" s="115"/>
    </row>
    <row r="133" spans="1:12">
      <c r="A133" s="110"/>
      <c r="B133" s="113"/>
      <c r="C133" s="110"/>
      <c r="D133" s="110"/>
      <c r="E133" s="110"/>
      <c r="F133" s="110"/>
      <c r="G133" s="110"/>
      <c r="H133" s="110"/>
      <c r="I133" s="110"/>
      <c r="J133" s="110"/>
      <c r="K133" s="115"/>
      <c r="L133" s="115"/>
    </row>
    <row r="134" spans="1:12">
      <c r="A134" s="110"/>
      <c r="B134" s="113"/>
      <c r="C134" s="110"/>
      <c r="D134" s="110"/>
      <c r="E134" s="110"/>
      <c r="F134" s="110"/>
      <c r="G134" s="110"/>
      <c r="H134" s="110"/>
      <c r="I134" s="110"/>
      <c r="J134" s="110"/>
      <c r="K134" s="115"/>
      <c r="L134" s="115"/>
    </row>
    <row r="135" spans="1:12">
      <c r="A135" s="110"/>
      <c r="B135" s="113"/>
      <c r="C135" s="110"/>
      <c r="D135" s="110"/>
      <c r="E135" s="110"/>
      <c r="F135" s="110"/>
      <c r="G135" s="110"/>
      <c r="H135" s="110"/>
      <c r="I135" s="110"/>
      <c r="J135" s="110"/>
      <c r="K135" s="115"/>
      <c r="L135" s="115"/>
    </row>
    <row r="136" spans="1:12">
      <c r="A136" s="110"/>
      <c r="B136" s="113"/>
      <c r="C136" s="110"/>
      <c r="D136" s="110"/>
      <c r="E136" s="110"/>
      <c r="F136" s="110"/>
      <c r="G136" s="110"/>
      <c r="H136" s="110"/>
      <c r="I136" s="110"/>
      <c r="J136" s="110"/>
      <c r="K136" s="115"/>
      <c r="L136" s="115"/>
    </row>
    <row r="137" spans="1:12">
      <c r="A137" s="110"/>
      <c r="B137" s="113"/>
      <c r="C137" s="110"/>
      <c r="D137" s="110"/>
      <c r="E137" s="110"/>
      <c r="F137" s="110"/>
      <c r="G137" s="110"/>
      <c r="H137" s="110"/>
      <c r="I137" s="110"/>
      <c r="J137" s="110"/>
      <c r="K137" s="115"/>
      <c r="L137" s="115"/>
    </row>
    <row r="138" spans="1:12">
      <c r="A138" s="110"/>
      <c r="B138" s="113"/>
      <c r="C138" s="110"/>
      <c r="D138" s="110"/>
      <c r="E138" s="110"/>
      <c r="F138" s="110"/>
      <c r="G138" s="110"/>
      <c r="H138" s="110"/>
      <c r="I138" s="110"/>
      <c r="J138" s="110"/>
      <c r="K138" s="115"/>
      <c r="L138" s="115"/>
    </row>
    <row r="139" spans="1:12">
      <c r="A139" s="110"/>
      <c r="B139" s="113"/>
      <c r="C139" s="110"/>
      <c r="D139" s="110"/>
      <c r="E139" s="110"/>
      <c r="F139" s="110"/>
      <c r="G139" s="110"/>
      <c r="H139" s="110"/>
      <c r="I139" s="110"/>
      <c r="J139" s="110"/>
      <c r="K139" s="115"/>
      <c r="L139" s="115"/>
    </row>
    <row r="140" spans="1:12">
      <c r="A140" s="110"/>
      <c r="B140" s="113"/>
      <c r="C140" s="110"/>
      <c r="D140" s="110"/>
      <c r="E140" s="110"/>
      <c r="F140" s="110"/>
      <c r="G140" s="110"/>
      <c r="H140" s="110"/>
      <c r="I140" s="110"/>
      <c r="J140" s="110"/>
      <c r="K140" s="115"/>
      <c r="L140" s="115"/>
    </row>
    <row r="141" spans="1:12">
      <c r="A141" s="110"/>
      <c r="B141" s="113"/>
      <c r="C141" s="110"/>
      <c r="D141" s="110"/>
      <c r="E141" s="110"/>
      <c r="F141" s="110"/>
      <c r="G141" s="110"/>
      <c r="H141" s="110"/>
      <c r="I141" s="110"/>
      <c r="J141" s="110"/>
      <c r="K141" s="115"/>
      <c r="L141" s="115"/>
    </row>
    <row r="142" spans="1:12">
      <c r="A142" s="110"/>
      <c r="B142" s="113"/>
      <c r="C142" s="110"/>
      <c r="D142" s="110"/>
      <c r="E142" s="110"/>
      <c r="F142" s="110"/>
      <c r="G142" s="110"/>
      <c r="H142" s="110"/>
      <c r="I142" s="110"/>
      <c r="J142" s="110"/>
      <c r="K142" s="115"/>
      <c r="L142" s="115"/>
    </row>
    <row r="143" spans="1:12">
      <c r="A143" s="110"/>
      <c r="B143" s="113"/>
      <c r="C143" s="110"/>
      <c r="D143" s="110"/>
      <c r="E143" s="110"/>
      <c r="F143" s="110"/>
      <c r="G143" s="110"/>
      <c r="H143" s="110"/>
      <c r="I143" s="110"/>
      <c r="J143" s="110"/>
      <c r="K143" s="115"/>
      <c r="L143" s="115"/>
    </row>
    <row r="144" spans="1:12">
      <c r="A144" s="110"/>
      <c r="B144" s="113"/>
      <c r="C144" s="110"/>
      <c r="D144" s="110"/>
      <c r="E144" s="110"/>
      <c r="F144" s="110"/>
      <c r="G144" s="110"/>
      <c r="H144" s="110"/>
      <c r="I144" s="110"/>
      <c r="J144" s="110"/>
      <c r="K144" s="115"/>
      <c r="L144" s="115"/>
    </row>
    <row r="145" spans="1:12">
      <c r="A145" s="110"/>
      <c r="B145" s="113"/>
      <c r="C145" s="110"/>
      <c r="D145" s="110"/>
      <c r="E145" s="110"/>
      <c r="F145" s="110"/>
      <c r="G145" s="110"/>
      <c r="H145" s="110"/>
      <c r="I145" s="110"/>
      <c r="J145" s="110"/>
      <c r="K145" s="115"/>
      <c r="L145" s="115"/>
    </row>
    <row r="146" spans="1:12">
      <c r="A146" s="110"/>
      <c r="B146" s="113"/>
      <c r="C146" s="110"/>
      <c r="D146" s="110"/>
      <c r="E146" s="110"/>
      <c r="F146" s="110"/>
      <c r="G146" s="110"/>
      <c r="H146" s="110"/>
      <c r="I146" s="110"/>
      <c r="J146" s="110"/>
      <c r="K146" s="115"/>
      <c r="L146" s="115"/>
    </row>
    <row r="147" spans="1:12">
      <c r="A147" s="110"/>
      <c r="B147" s="113"/>
      <c r="C147" s="110"/>
      <c r="D147" s="110"/>
      <c r="E147" s="110"/>
      <c r="F147" s="110"/>
      <c r="G147" s="110"/>
      <c r="H147" s="110"/>
      <c r="I147" s="110"/>
      <c r="J147" s="110"/>
      <c r="K147" s="115"/>
      <c r="L147" s="115"/>
    </row>
    <row r="148" spans="1:12">
      <c r="A148" s="110"/>
      <c r="B148" s="113"/>
      <c r="C148" s="110"/>
      <c r="D148" s="110"/>
      <c r="E148" s="110"/>
      <c r="F148" s="110"/>
      <c r="G148" s="110"/>
      <c r="H148" s="110"/>
      <c r="I148" s="110"/>
      <c r="J148" s="110"/>
      <c r="K148" s="115"/>
      <c r="L148" s="115"/>
    </row>
    <row r="149" spans="1:12">
      <c r="A149" s="110"/>
      <c r="B149" s="113"/>
      <c r="C149" s="110"/>
      <c r="D149" s="110"/>
      <c r="E149" s="110"/>
      <c r="F149" s="110"/>
      <c r="G149" s="110"/>
      <c r="H149" s="110"/>
      <c r="I149" s="110"/>
      <c r="J149" s="110"/>
      <c r="K149" s="115"/>
      <c r="L149" s="115"/>
    </row>
    <row r="150" spans="1:12">
      <c r="A150" s="110"/>
      <c r="B150" s="113"/>
      <c r="C150" s="110"/>
      <c r="D150" s="110"/>
      <c r="E150" s="110"/>
      <c r="F150" s="110"/>
      <c r="G150" s="110"/>
      <c r="H150" s="110"/>
      <c r="I150" s="110"/>
      <c r="J150" s="110"/>
      <c r="K150" s="115"/>
      <c r="L150" s="115"/>
    </row>
    <row r="151" spans="1:12">
      <c r="A151" s="110"/>
      <c r="B151" s="113"/>
      <c r="C151" s="110"/>
      <c r="D151" s="110"/>
      <c r="E151" s="110"/>
      <c r="F151" s="110"/>
      <c r="G151" s="110"/>
      <c r="H151" s="110"/>
      <c r="I151" s="110"/>
      <c r="J151" s="110"/>
      <c r="K151" s="115"/>
      <c r="L151" s="115"/>
    </row>
    <row r="152" spans="1:12">
      <c r="A152" s="110"/>
      <c r="B152" s="113"/>
      <c r="C152" s="110"/>
      <c r="D152" s="110"/>
      <c r="E152" s="110"/>
      <c r="F152" s="110"/>
      <c r="G152" s="110"/>
      <c r="H152" s="110"/>
      <c r="I152" s="110"/>
      <c r="J152" s="110"/>
      <c r="K152" s="115"/>
      <c r="L152" s="117"/>
    </row>
    <row r="153" spans="1:12">
      <c r="A153" s="110"/>
      <c r="B153" s="113"/>
      <c r="C153" s="110"/>
      <c r="D153" s="110"/>
      <c r="E153" s="110"/>
      <c r="F153" s="110"/>
      <c r="G153" s="110"/>
      <c r="H153" s="110"/>
      <c r="I153" s="110"/>
      <c r="J153" s="110"/>
      <c r="K153" s="115"/>
      <c r="L153" s="117"/>
    </row>
    <row r="154" spans="1:12">
      <c r="A154" s="110"/>
      <c r="B154" s="113"/>
      <c r="C154" s="110"/>
      <c r="D154" s="110"/>
      <c r="E154" s="110"/>
      <c r="F154" s="110"/>
      <c r="G154" s="110"/>
      <c r="H154" s="110"/>
      <c r="I154" s="110"/>
      <c r="J154" s="110"/>
      <c r="K154" s="115"/>
      <c r="L154" s="117"/>
    </row>
    <row r="155" spans="1:12">
      <c r="A155" s="110"/>
      <c r="B155" s="113"/>
      <c r="C155" s="110"/>
      <c r="D155" s="110"/>
      <c r="E155" s="110"/>
      <c r="F155" s="110"/>
      <c r="G155" s="110"/>
      <c r="H155" s="110"/>
      <c r="I155" s="110"/>
      <c r="J155" s="110"/>
      <c r="K155" s="115"/>
      <c r="L155" s="117"/>
    </row>
    <row r="156" spans="1:12">
      <c r="A156" s="110"/>
      <c r="B156" s="113"/>
      <c r="C156" s="110"/>
      <c r="D156" s="110"/>
      <c r="E156" s="110"/>
      <c r="F156" s="110"/>
      <c r="G156" s="110"/>
      <c r="H156" s="110"/>
      <c r="I156" s="110"/>
      <c r="J156" s="110"/>
      <c r="K156" s="115"/>
      <c r="L156" s="117"/>
    </row>
    <row r="157" spans="1:12">
      <c r="A157" s="110"/>
      <c r="B157" s="113"/>
      <c r="C157" s="110"/>
      <c r="D157" s="110"/>
      <c r="E157" s="110"/>
      <c r="F157" s="110"/>
      <c r="G157" s="110"/>
      <c r="H157" s="110"/>
      <c r="I157" s="110"/>
      <c r="J157" s="110"/>
      <c r="K157" s="115"/>
      <c r="L157" s="117"/>
    </row>
    <row r="158" spans="1:12">
      <c r="A158" s="110"/>
      <c r="B158" s="113"/>
      <c r="C158" s="110"/>
      <c r="D158" s="110"/>
      <c r="E158" s="110"/>
      <c r="F158" s="110"/>
      <c r="G158" s="110"/>
      <c r="H158" s="110"/>
      <c r="I158" s="110"/>
      <c r="J158" s="110"/>
      <c r="K158" s="115"/>
      <c r="L158" s="117"/>
    </row>
    <row r="159" spans="1:12">
      <c r="A159" s="110"/>
      <c r="B159" s="113"/>
      <c r="C159" s="110"/>
      <c r="D159" s="110"/>
      <c r="E159" s="110"/>
      <c r="F159" s="110"/>
      <c r="G159" s="110"/>
      <c r="H159" s="110"/>
      <c r="I159" s="110"/>
      <c r="J159" s="110"/>
      <c r="K159" s="115"/>
      <c r="L159" s="117"/>
    </row>
    <row r="160" spans="1:12">
      <c r="A160" s="110"/>
      <c r="B160" s="113"/>
      <c r="C160" s="110"/>
      <c r="D160" s="110"/>
      <c r="E160" s="110"/>
      <c r="F160" s="110"/>
      <c r="G160" s="110"/>
      <c r="H160" s="110"/>
      <c r="I160" s="110"/>
      <c r="J160" s="110"/>
      <c r="K160" s="115"/>
      <c r="L160" s="117"/>
    </row>
    <row r="161" spans="1:12">
      <c r="A161" s="110"/>
      <c r="B161" s="113"/>
      <c r="C161" s="110"/>
      <c r="D161" s="110"/>
      <c r="E161" s="110"/>
      <c r="F161" s="110"/>
      <c r="G161" s="110"/>
      <c r="H161" s="110"/>
      <c r="I161" s="110"/>
      <c r="J161" s="110"/>
      <c r="K161" s="115"/>
      <c r="L161" s="117"/>
    </row>
    <row r="164" spans="1:12">
      <c r="F164" s="116"/>
    </row>
  </sheetData>
  <phoneticPr fontId="14" type="noConversion"/>
  <dataValidations count="4">
    <dataValidation type="list" allowBlank="1" showInputMessage="1" showErrorMessage="1" sqref="E2:E161" xr:uid="{2920CB22-4EBF-4F59-9724-023C563A7F71}">
      <formula1>INDIRECT("Coffee_" &amp; SUBSTITUTE(D2," ","_"))</formula1>
    </dataValidation>
    <dataValidation type="list" allowBlank="1" showInputMessage="1" showErrorMessage="1" sqref="D2:D161" xr:uid="{4763C8A3-183A-4E7E-9C77-612B6971F70F}">
      <formula1>"Labour,Input"</formula1>
    </dataValidation>
    <dataValidation type="list" allowBlank="1" showInputMessage="1" showErrorMessage="1" sqref="F2:F161" xr:uid="{D9C4119D-4588-4E23-9AD5-F97143561256}">
      <formula1>"Round 1,Round 2,Round 3,Round 4,Round 5"</formula1>
    </dataValidation>
    <dataValidation type="list" allowBlank="1" showInputMessage="1" showErrorMessage="1" sqref="I2:I161" xr:uid="{B61A7E75-84EE-4419-9A59-835CD154D93B}">
      <formula1>"Manday,Kg,Liter,Kwh"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7869-DE49-404A-9024-26882E25C80D}">
  <dimension ref="A1:O51"/>
  <sheetViews>
    <sheetView tabSelected="1" zoomScale="70" zoomScaleNormal="70" workbookViewId="0">
      <selection activeCell="O5" sqref="O5"/>
    </sheetView>
  </sheetViews>
  <sheetFormatPr defaultRowHeight="14"/>
  <cols>
    <col min="1" max="1" width="4.5" bestFit="1" customWidth="1"/>
    <col min="2" max="2" width="9.4140625" bestFit="1" customWidth="1"/>
    <col min="3" max="3" width="20.4140625" bestFit="1" customWidth="1"/>
    <col min="4" max="4" width="19.25" bestFit="1" customWidth="1"/>
    <col min="5" max="5" width="24.33203125" bestFit="1" customWidth="1"/>
    <col min="6" max="6" width="20.33203125" bestFit="1" customWidth="1"/>
    <col min="7" max="7" width="13" bestFit="1" customWidth="1"/>
    <col min="8" max="8" width="13" customWidth="1"/>
    <col min="9" max="9" width="8.33203125" bestFit="1" customWidth="1"/>
    <col min="10" max="10" width="7.83203125" bestFit="1" customWidth="1"/>
    <col min="11" max="11" width="10.9140625" bestFit="1" customWidth="1"/>
    <col min="12" max="12" width="21.75" bestFit="1" customWidth="1"/>
  </cols>
  <sheetData>
    <row r="1" spans="1:15">
      <c r="A1" s="111" t="s">
        <v>209</v>
      </c>
      <c r="B1" s="111" t="s">
        <v>50</v>
      </c>
      <c r="C1" s="111" t="s">
        <v>187</v>
      </c>
      <c r="D1" s="111" t="s">
        <v>211</v>
      </c>
      <c r="E1" s="111" t="s">
        <v>212</v>
      </c>
      <c r="F1" s="111" t="s">
        <v>220</v>
      </c>
      <c r="G1" s="111" t="s">
        <v>53</v>
      </c>
      <c r="H1" s="111" t="s">
        <v>222</v>
      </c>
      <c r="I1" s="111" t="s">
        <v>33</v>
      </c>
      <c r="J1" s="111" t="s">
        <v>34</v>
      </c>
      <c r="K1" s="111" t="s">
        <v>35</v>
      </c>
      <c r="L1" s="111" t="s">
        <v>221</v>
      </c>
      <c r="N1" s="123" t="s">
        <v>251</v>
      </c>
      <c r="O1" s="123" t="s">
        <v>228</v>
      </c>
    </row>
    <row r="2" spans="1:15">
      <c r="A2" s="110">
        <v>1</v>
      </c>
      <c r="B2" s="119">
        <v>45643</v>
      </c>
      <c r="C2" s="110" t="s">
        <v>244</v>
      </c>
      <c r="D2" s="110" t="s">
        <v>192</v>
      </c>
      <c r="E2" s="110" t="s">
        <v>217</v>
      </c>
      <c r="F2" s="110" t="s">
        <v>25</v>
      </c>
      <c r="G2" s="110"/>
      <c r="H2" s="110"/>
      <c r="I2" s="110" t="s">
        <v>172</v>
      </c>
      <c r="J2" s="110">
        <v>18</v>
      </c>
      <c r="K2" s="115">
        <v>78840</v>
      </c>
      <c r="L2" s="117">
        <f>J2*K2</f>
        <v>1419120</v>
      </c>
      <c r="N2">
        <f>YEAR(B2)</f>
        <v>2024</v>
      </c>
    </row>
    <row r="3" spans="1:15">
      <c r="A3" s="110"/>
      <c r="B3" s="119"/>
      <c r="C3" s="110"/>
      <c r="D3" s="110"/>
      <c r="E3" s="110"/>
      <c r="F3" s="110"/>
      <c r="G3" s="110"/>
      <c r="H3" s="110"/>
      <c r="I3" s="110"/>
      <c r="J3" s="110"/>
      <c r="K3" s="115"/>
      <c r="L3" s="117"/>
    </row>
    <row r="4" spans="1:15">
      <c r="A4" s="110"/>
      <c r="B4" s="119"/>
      <c r="C4" s="110"/>
      <c r="D4" s="110"/>
      <c r="E4" s="110"/>
      <c r="F4" s="110"/>
      <c r="G4" s="110"/>
      <c r="H4" s="110"/>
      <c r="I4" s="110"/>
      <c r="J4" s="110"/>
      <c r="K4" s="115"/>
      <c r="L4" s="117"/>
    </row>
    <row r="5" spans="1:15">
      <c r="A5" s="110"/>
      <c r="B5" s="119"/>
      <c r="C5" s="110"/>
      <c r="D5" s="110"/>
      <c r="E5" s="110"/>
      <c r="F5" s="110"/>
      <c r="G5" s="110"/>
      <c r="H5" s="110"/>
      <c r="I5" s="110"/>
      <c r="J5" s="110"/>
      <c r="K5" s="115"/>
      <c r="L5" s="117"/>
    </row>
    <row r="6" spans="1:15">
      <c r="A6" s="110"/>
      <c r="B6" s="119"/>
      <c r="C6" s="110"/>
      <c r="D6" s="110"/>
      <c r="E6" s="110"/>
      <c r="F6" s="110"/>
      <c r="G6" s="110"/>
      <c r="H6" s="110"/>
      <c r="I6" s="110"/>
      <c r="J6" s="110"/>
      <c r="K6" s="115"/>
      <c r="L6" s="117"/>
    </row>
    <row r="7" spans="1:15">
      <c r="A7" s="110"/>
      <c r="B7" s="119"/>
      <c r="C7" s="110"/>
      <c r="D7" s="110"/>
      <c r="E7" s="110"/>
      <c r="F7" s="110"/>
      <c r="G7" s="110"/>
      <c r="H7" s="110"/>
      <c r="I7" s="110"/>
      <c r="J7" s="110"/>
      <c r="K7" s="115"/>
      <c r="L7" s="117"/>
    </row>
    <row r="8" spans="1:15">
      <c r="A8" s="110"/>
      <c r="B8" s="119"/>
      <c r="C8" s="110"/>
      <c r="D8" s="110"/>
      <c r="E8" s="110"/>
      <c r="F8" s="110"/>
      <c r="G8" s="110"/>
      <c r="H8" s="110"/>
      <c r="I8" s="110"/>
      <c r="J8" s="110"/>
      <c r="K8" s="115"/>
      <c r="L8" s="117"/>
    </row>
    <row r="9" spans="1:15">
      <c r="A9" s="110"/>
      <c r="B9" s="119"/>
      <c r="C9" s="110"/>
      <c r="D9" s="110"/>
      <c r="E9" s="110"/>
      <c r="F9" s="110"/>
      <c r="G9" s="110"/>
      <c r="H9" s="110"/>
      <c r="I9" s="110"/>
      <c r="J9" s="110"/>
      <c r="K9" s="115"/>
      <c r="L9" s="117"/>
    </row>
    <row r="10" spans="1:15">
      <c r="A10" s="110"/>
      <c r="B10" s="119"/>
      <c r="C10" s="110"/>
      <c r="D10" s="110"/>
      <c r="E10" s="110"/>
      <c r="F10" s="110"/>
      <c r="G10" s="110"/>
      <c r="H10" s="110"/>
      <c r="I10" s="110"/>
      <c r="J10" s="110"/>
      <c r="K10" s="115"/>
      <c r="L10" s="117"/>
    </row>
    <row r="11" spans="1:15">
      <c r="A11" s="110"/>
      <c r="B11" s="119"/>
      <c r="C11" s="110"/>
      <c r="D11" s="110"/>
      <c r="E11" s="110"/>
      <c r="F11" s="110"/>
      <c r="G11" s="110"/>
      <c r="H11" s="110"/>
      <c r="I11" s="110"/>
      <c r="J11" s="110"/>
      <c r="K11" s="115"/>
      <c r="L11" s="117"/>
    </row>
    <row r="12" spans="1:15">
      <c r="A12" s="110"/>
      <c r="B12" s="119"/>
      <c r="C12" s="110"/>
      <c r="D12" s="110"/>
      <c r="E12" s="110"/>
      <c r="F12" s="110"/>
      <c r="G12" s="110"/>
      <c r="H12" s="110"/>
      <c r="I12" s="110"/>
      <c r="J12" s="110"/>
      <c r="K12" s="115"/>
      <c r="L12" s="117"/>
    </row>
    <row r="13" spans="1:15">
      <c r="A13" s="110"/>
      <c r="B13" s="119"/>
      <c r="C13" s="110"/>
      <c r="D13" s="110"/>
      <c r="E13" s="110"/>
      <c r="F13" s="110"/>
      <c r="G13" s="110"/>
      <c r="H13" s="110"/>
      <c r="I13" s="110"/>
      <c r="J13" s="110"/>
      <c r="K13" s="115"/>
      <c r="L13" s="117"/>
    </row>
    <row r="14" spans="1:15">
      <c r="A14" s="110"/>
      <c r="B14" s="119"/>
      <c r="C14" s="110"/>
      <c r="D14" s="110"/>
      <c r="E14" s="110"/>
      <c r="F14" s="110"/>
      <c r="G14" s="110"/>
      <c r="H14" s="110"/>
      <c r="I14" s="110"/>
      <c r="J14" s="110"/>
      <c r="K14" s="115"/>
      <c r="L14" s="117"/>
    </row>
    <row r="15" spans="1:15">
      <c r="A15" s="110"/>
      <c r="B15" s="119"/>
      <c r="C15" s="110"/>
      <c r="D15" s="110"/>
      <c r="E15" s="110"/>
      <c r="F15" s="110"/>
      <c r="G15" s="110"/>
      <c r="H15" s="110"/>
      <c r="I15" s="110"/>
      <c r="J15" s="110"/>
      <c r="K15" s="115"/>
      <c r="L15" s="117"/>
    </row>
    <row r="16" spans="1:15">
      <c r="A16" s="110"/>
      <c r="B16" s="119"/>
      <c r="C16" s="110"/>
      <c r="D16" s="110"/>
      <c r="E16" s="110"/>
      <c r="F16" s="110"/>
      <c r="G16" s="110"/>
      <c r="H16" s="110"/>
      <c r="I16" s="110"/>
      <c r="J16" s="110"/>
      <c r="K16" s="115"/>
      <c r="L16" s="117"/>
    </row>
    <row r="17" spans="1:12">
      <c r="A17" s="110"/>
      <c r="B17" s="119"/>
      <c r="C17" s="110"/>
      <c r="D17" s="110"/>
      <c r="E17" s="110"/>
      <c r="F17" s="110"/>
      <c r="G17" s="110"/>
      <c r="H17" s="110"/>
      <c r="I17" s="110"/>
      <c r="J17" s="110"/>
      <c r="K17" s="115"/>
      <c r="L17" s="117"/>
    </row>
    <row r="18" spans="1:12">
      <c r="A18" s="110"/>
      <c r="B18" s="119"/>
      <c r="C18" s="110"/>
      <c r="D18" s="110"/>
      <c r="E18" s="110"/>
      <c r="F18" s="110"/>
      <c r="G18" s="110"/>
      <c r="H18" s="110"/>
      <c r="I18" s="110"/>
      <c r="J18" s="110"/>
      <c r="K18" s="115"/>
      <c r="L18" s="117"/>
    </row>
    <row r="19" spans="1:12">
      <c r="A19" s="110"/>
      <c r="B19" s="119"/>
      <c r="C19" s="110"/>
      <c r="D19" s="110"/>
      <c r="E19" s="110"/>
      <c r="F19" s="110"/>
      <c r="G19" s="110"/>
      <c r="H19" s="110"/>
      <c r="I19" s="110"/>
      <c r="J19" s="110"/>
      <c r="K19" s="115"/>
      <c r="L19" s="117"/>
    </row>
    <row r="20" spans="1:12">
      <c r="A20" s="110"/>
      <c r="B20" s="119"/>
      <c r="C20" s="110"/>
      <c r="D20" s="110"/>
      <c r="E20" s="110"/>
      <c r="F20" s="110"/>
      <c r="G20" s="110"/>
      <c r="H20" s="110"/>
      <c r="I20" s="110"/>
      <c r="J20" s="110"/>
      <c r="K20" s="115"/>
      <c r="L20" s="117"/>
    </row>
    <row r="21" spans="1:12">
      <c r="A21" s="110"/>
      <c r="B21" s="119"/>
      <c r="C21" s="110"/>
      <c r="D21" s="110"/>
      <c r="E21" s="110"/>
      <c r="F21" s="110"/>
      <c r="G21" s="110"/>
      <c r="H21" s="110"/>
      <c r="I21" s="110"/>
      <c r="J21" s="110"/>
      <c r="K21" s="115"/>
      <c r="L21" s="117"/>
    </row>
    <row r="22" spans="1:12">
      <c r="A22" s="110"/>
      <c r="B22" s="119"/>
      <c r="C22" s="110"/>
      <c r="D22" s="110"/>
      <c r="E22" s="110"/>
      <c r="F22" s="110"/>
      <c r="G22" s="110"/>
      <c r="H22" s="110"/>
      <c r="I22" s="110"/>
      <c r="J22" s="110"/>
      <c r="K22" s="115"/>
      <c r="L22" s="117"/>
    </row>
    <row r="23" spans="1:12">
      <c r="A23" s="110"/>
      <c r="B23" s="119"/>
      <c r="C23" s="110"/>
      <c r="D23" s="110"/>
      <c r="E23" s="110"/>
      <c r="F23" s="110"/>
      <c r="G23" s="110"/>
      <c r="H23" s="110"/>
      <c r="I23" s="110"/>
      <c r="J23" s="110"/>
      <c r="K23" s="115"/>
      <c r="L23" s="117"/>
    </row>
    <row r="24" spans="1:12">
      <c r="A24" s="110"/>
      <c r="B24" s="119"/>
      <c r="C24" s="110"/>
      <c r="D24" s="110"/>
      <c r="E24" s="110"/>
      <c r="F24" s="110"/>
      <c r="G24" s="110"/>
      <c r="H24" s="110"/>
      <c r="I24" s="110"/>
      <c r="J24" s="110"/>
      <c r="K24" s="115"/>
      <c r="L24" s="117"/>
    </row>
    <row r="25" spans="1:12">
      <c r="A25" s="110"/>
      <c r="B25" s="119"/>
      <c r="C25" s="110"/>
      <c r="D25" s="110"/>
      <c r="E25" s="110"/>
      <c r="F25" s="110"/>
      <c r="G25" s="110"/>
      <c r="H25" s="110"/>
      <c r="I25" s="110"/>
      <c r="J25" s="110"/>
      <c r="K25" s="115"/>
      <c r="L25" s="117"/>
    </row>
    <row r="26" spans="1:12">
      <c r="A26" s="110"/>
      <c r="B26" s="119"/>
      <c r="C26" s="110"/>
      <c r="D26" s="110"/>
      <c r="E26" s="110"/>
      <c r="F26" s="110"/>
      <c r="G26" s="110"/>
      <c r="H26" s="110"/>
      <c r="I26" s="110"/>
      <c r="J26" s="110"/>
      <c r="K26" s="115"/>
      <c r="L26" s="117"/>
    </row>
    <row r="27" spans="1:12">
      <c r="A27" s="110"/>
      <c r="B27" s="119"/>
      <c r="C27" s="110"/>
      <c r="D27" s="110"/>
      <c r="E27" s="110"/>
      <c r="F27" s="110"/>
      <c r="G27" s="110"/>
      <c r="H27" s="110"/>
      <c r="I27" s="110"/>
      <c r="J27" s="110"/>
      <c r="K27" s="115"/>
      <c r="L27" s="117"/>
    </row>
    <row r="28" spans="1:12">
      <c r="A28" s="110"/>
      <c r="B28" s="119"/>
      <c r="C28" s="110"/>
      <c r="D28" s="110"/>
      <c r="E28" s="110"/>
      <c r="F28" s="110"/>
      <c r="G28" s="110"/>
      <c r="H28" s="110"/>
      <c r="I28" s="110"/>
      <c r="J28" s="110"/>
      <c r="K28" s="115"/>
      <c r="L28" s="117"/>
    </row>
    <row r="29" spans="1:12">
      <c r="A29" s="110"/>
      <c r="B29" s="119"/>
      <c r="C29" s="110"/>
      <c r="D29" s="110"/>
      <c r="E29" s="110"/>
      <c r="F29" s="110"/>
      <c r="G29" s="110"/>
      <c r="H29" s="110"/>
      <c r="I29" s="110"/>
      <c r="J29" s="110"/>
      <c r="K29" s="115"/>
      <c r="L29" s="117"/>
    </row>
    <row r="30" spans="1:12">
      <c r="A30" s="110"/>
      <c r="B30" s="119"/>
      <c r="C30" s="110"/>
      <c r="D30" s="110"/>
      <c r="E30" s="110"/>
      <c r="F30" s="110"/>
      <c r="G30" s="110"/>
      <c r="H30" s="110"/>
      <c r="I30" s="110"/>
      <c r="J30" s="110"/>
      <c r="K30" s="115"/>
      <c r="L30" s="117"/>
    </row>
    <row r="31" spans="1:12">
      <c r="A31" s="110"/>
      <c r="B31" s="119"/>
      <c r="C31" s="110"/>
      <c r="D31" s="110"/>
      <c r="E31" s="110"/>
      <c r="F31" s="110"/>
      <c r="G31" s="110"/>
      <c r="H31" s="110"/>
      <c r="I31" s="110"/>
      <c r="J31" s="110"/>
      <c r="K31" s="115"/>
      <c r="L31" s="117"/>
    </row>
    <row r="32" spans="1:12">
      <c r="A32" s="110"/>
      <c r="B32" s="119"/>
      <c r="C32" s="110"/>
      <c r="D32" s="110"/>
      <c r="E32" s="110"/>
      <c r="F32" s="110"/>
      <c r="G32" s="110"/>
      <c r="H32" s="110"/>
      <c r="I32" s="110"/>
      <c r="J32" s="110"/>
      <c r="K32" s="115"/>
      <c r="L32" s="117"/>
    </row>
    <row r="33" spans="1:12">
      <c r="A33" s="110"/>
      <c r="B33" s="119"/>
      <c r="C33" s="110"/>
      <c r="D33" s="110"/>
      <c r="E33" s="110"/>
      <c r="F33" s="110"/>
      <c r="G33" s="110"/>
      <c r="H33" s="110"/>
      <c r="I33" s="110"/>
      <c r="J33" s="110"/>
      <c r="K33" s="115"/>
      <c r="L33" s="117"/>
    </row>
    <row r="34" spans="1:12">
      <c r="A34" s="110"/>
      <c r="B34" s="119"/>
      <c r="C34" s="110"/>
      <c r="D34" s="110"/>
      <c r="E34" s="110"/>
      <c r="F34" s="110"/>
      <c r="G34" s="110"/>
      <c r="H34" s="110"/>
      <c r="I34" s="110"/>
      <c r="J34" s="110"/>
      <c r="K34" s="115"/>
      <c r="L34" s="117"/>
    </row>
    <row r="35" spans="1:12">
      <c r="A35" s="110"/>
      <c r="B35" s="119"/>
      <c r="C35" s="110"/>
      <c r="D35" s="110"/>
      <c r="E35" s="110"/>
      <c r="F35" s="110"/>
      <c r="G35" s="110"/>
      <c r="H35" s="110"/>
      <c r="I35" s="110"/>
      <c r="J35" s="110"/>
      <c r="K35" s="115"/>
      <c r="L35" s="117"/>
    </row>
    <row r="36" spans="1:12">
      <c r="A36" s="110"/>
      <c r="B36" s="119"/>
      <c r="C36" s="110"/>
      <c r="D36" s="110"/>
      <c r="E36" s="110"/>
      <c r="F36" s="110"/>
      <c r="G36" s="110"/>
      <c r="H36" s="110"/>
      <c r="I36" s="110"/>
      <c r="J36" s="110"/>
      <c r="K36" s="115"/>
      <c r="L36" s="117"/>
    </row>
    <row r="37" spans="1:12">
      <c r="A37" s="110"/>
      <c r="B37" s="119"/>
      <c r="C37" s="110"/>
      <c r="D37" s="110"/>
      <c r="E37" s="110"/>
      <c r="F37" s="110"/>
      <c r="G37" s="110"/>
      <c r="H37" s="110"/>
      <c r="I37" s="110"/>
      <c r="J37" s="110"/>
      <c r="K37" s="115"/>
      <c r="L37" s="117"/>
    </row>
    <row r="38" spans="1:12">
      <c r="A38" s="110"/>
      <c r="B38" s="119"/>
      <c r="C38" s="110"/>
      <c r="D38" s="110"/>
      <c r="E38" s="110"/>
      <c r="F38" s="110"/>
      <c r="G38" s="110"/>
      <c r="H38" s="110"/>
      <c r="I38" s="110"/>
      <c r="J38" s="110"/>
      <c r="K38" s="115"/>
      <c r="L38" s="117"/>
    </row>
    <row r="39" spans="1:12">
      <c r="A39" s="110"/>
      <c r="B39" s="119"/>
      <c r="C39" s="110"/>
      <c r="D39" s="110"/>
      <c r="E39" s="110"/>
      <c r="F39" s="110"/>
      <c r="G39" s="110"/>
      <c r="H39" s="110"/>
      <c r="I39" s="110"/>
      <c r="J39" s="110"/>
      <c r="K39" s="115"/>
      <c r="L39" s="117"/>
    </row>
    <row r="40" spans="1:12">
      <c r="A40" s="110"/>
      <c r="B40" s="119"/>
      <c r="C40" s="110"/>
      <c r="D40" s="110"/>
      <c r="E40" s="110"/>
      <c r="F40" s="110"/>
      <c r="G40" s="110"/>
      <c r="H40" s="110"/>
      <c r="I40" s="110"/>
      <c r="J40" s="110"/>
      <c r="K40" s="115"/>
      <c r="L40" s="117"/>
    </row>
    <row r="41" spans="1:12">
      <c r="A41" s="110"/>
      <c r="B41" s="119"/>
      <c r="C41" s="110"/>
      <c r="D41" s="110"/>
      <c r="E41" s="110"/>
      <c r="F41" s="110"/>
      <c r="G41" s="110"/>
      <c r="H41" s="110"/>
      <c r="I41" s="110"/>
      <c r="J41" s="110"/>
      <c r="K41" s="115"/>
      <c r="L41" s="117"/>
    </row>
    <row r="42" spans="1:12">
      <c r="A42" s="110"/>
      <c r="B42" s="119"/>
      <c r="C42" s="110"/>
      <c r="D42" s="110"/>
      <c r="E42" s="110"/>
      <c r="F42" s="110"/>
      <c r="G42" s="110"/>
      <c r="H42" s="110"/>
      <c r="I42" s="110"/>
      <c r="J42" s="110"/>
      <c r="K42" s="115"/>
      <c r="L42" s="117"/>
    </row>
    <row r="43" spans="1:12">
      <c r="A43" s="110"/>
      <c r="B43" s="119"/>
      <c r="C43" s="110"/>
      <c r="D43" s="110"/>
      <c r="E43" s="110"/>
      <c r="F43" s="110"/>
      <c r="G43" s="110"/>
      <c r="H43" s="110"/>
      <c r="I43" s="110"/>
      <c r="J43" s="110"/>
      <c r="K43" s="115"/>
      <c r="L43" s="117"/>
    </row>
    <row r="44" spans="1:12">
      <c r="A44" s="110"/>
      <c r="B44" s="119"/>
      <c r="C44" s="110"/>
      <c r="D44" s="110"/>
      <c r="E44" s="110"/>
      <c r="F44" s="110"/>
      <c r="G44" s="110"/>
      <c r="H44" s="110"/>
      <c r="I44" s="110"/>
      <c r="J44" s="110"/>
      <c r="K44" s="115"/>
      <c r="L44" s="117"/>
    </row>
    <row r="45" spans="1:12">
      <c r="A45" s="110"/>
      <c r="B45" s="119"/>
      <c r="C45" s="110"/>
      <c r="D45" s="110"/>
      <c r="E45" s="110"/>
      <c r="F45" s="110"/>
      <c r="G45" s="110"/>
      <c r="H45" s="110"/>
      <c r="I45" s="110"/>
      <c r="J45" s="110"/>
      <c r="K45" s="115"/>
      <c r="L45" s="117"/>
    </row>
    <row r="46" spans="1:12">
      <c r="A46" s="110"/>
      <c r="B46" s="119"/>
      <c r="C46" s="110"/>
      <c r="D46" s="110"/>
      <c r="E46" s="110"/>
      <c r="F46" s="110"/>
      <c r="G46" s="110"/>
      <c r="H46" s="110"/>
      <c r="I46" s="110"/>
      <c r="J46" s="110"/>
      <c r="K46" s="115"/>
      <c r="L46" s="117"/>
    </row>
    <row r="47" spans="1:12">
      <c r="A47" s="110"/>
      <c r="B47" s="119"/>
      <c r="C47" s="110"/>
      <c r="D47" s="110"/>
      <c r="E47" s="110"/>
      <c r="F47" s="110"/>
      <c r="G47" s="110"/>
      <c r="H47" s="110"/>
      <c r="I47" s="110"/>
      <c r="J47" s="110"/>
      <c r="K47" s="115"/>
      <c r="L47" s="117"/>
    </row>
    <row r="48" spans="1:12">
      <c r="A48" s="110"/>
      <c r="B48" s="119"/>
      <c r="C48" s="110"/>
      <c r="D48" s="110"/>
      <c r="E48" s="110"/>
      <c r="F48" s="110"/>
      <c r="G48" s="110"/>
      <c r="H48" s="110"/>
      <c r="I48" s="110"/>
      <c r="J48" s="110"/>
      <c r="K48" s="115"/>
      <c r="L48" s="117"/>
    </row>
    <row r="49" spans="1:12">
      <c r="A49" s="110"/>
      <c r="B49" s="119"/>
      <c r="C49" s="110"/>
      <c r="D49" s="110"/>
      <c r="E49" s="110"/>
      <c r="F49" s="110"/>
      <c r="G49" s="110"/>
      <c r="H49" s="110"/>
      <c r="I49" s="110"/>
      <c r="J49" s="110"/>
      <c r="K49" s="115"/>
      <c r="L49" s="117"/>
    </row>
    <row r="50" spans="1:12">
      <c r="A50" s="110"/>
      <c r="B50" s="119"/>
      <c r="C50" s="110"/>
      <c r="D50" s="110"/>
      <c r="E50" s="110"/>
      <c r="F50" s="110"/>
      <c r="G50" s="110"/>
      <c r="H50" s="110"/>
      <c r="I50" s="110"/>
      <c r="J50" s="110"/>
      <c r="K50" s="115"/>
      <c r="L50" s="117"/>
    </row>
    <row r="51" spans="1:12">
      <c r="A51" s="110"/>
      <c r="B51" s="119"/>
      <c r="C51" s="110"/>
      <c r="D51" s="110"/>
      <c r="E51" s="110"/>
      <c r="F51" s="110"/>
      <c r="G51" s="110"/>
      <c r="H51" s="110"/>
      <c r="I51" s="110"/>
      <c r="J51" s="110"/>
      <c r="K51" s="115"/>
      <c r="L51" s="117"/>
    </row>
  </sheetData>
  <dataValidations count="4">
    <dataValidation type="list" allowBlank="1" showInputMessage="1" showErrorMessage="1" sqref="F2:F51" xr:uid="{5FB583F9-9435-4B1A-A5F6-CAA81D0F69EC}">
      <formula1>"Round 1,Round 2,Round 3,Round 4,Round 5"</formula1>
    </dataValidation>
    <dataValidation type="list" allowBlank="1" showInputMessage="1" showErrorMessage="1" sqref="D2:D51" xr:uid="{C5D3F492-9CE0-4698-A0EA-42A486744B02}">
      <formula1>"Labour,Input"</formula1>
    </dataValidation>
    <dataValidation type="list" allowBlank="1" showInputMessage="1" showErrorMessage="1" sqref="E2:E51" xr:uid="{F76D0929-42EA-40D8-92C1-86CBB3D0C599}">
      <formula1>INDIRECT("Intercrop_" &amp; SUBSTITUTE(D2," ","_"))</formula1>
    </dataValidation>
    <dataValidation type="list" allowBlank="1" showInputMessage="1" showErrorMessage="1" sqref="I2:I51" xr:uid="{843CB910-3982-42F9-BC58-030020122698}">
      <formula1>"Manday,Kg,Liter,Kwh"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8E1D25-54C4-42E2-BC1E-7C3E140BBFDE}">
          <x14:formula1>
            <xm:f>Data_Validation!$A$60:$A$62</xm:f>
          </x14:formula1>
          <xm:sqref>O2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3312-9906-4142-BE31-9B7B4D195D6F}">
  <dimension ref="A1:O126"/>
  <sheetViews>
    <sheetView workbookViewId="0">
      <selection activeCell="M2" sqref="M2"/>
    </sheetView>
  </sheetViews>
  <sheetFormatPr defaultRowHeight="14"/>
  <cols>
    <col min="1" max="1" width="4.5" bestFit="1" customWidth="1"/>
    <col min="2" max="2" width="9.4140625" bestFit="1" customWidth="1"/>
    <col min="3" max="3" width="20.4140625" bestFit="1" customWidth="1"/>
    <col min="4" max="4" width="32.1640625" hidden="1" customWidth="1"/>
    <col min="5" max="5" width="19.25" bestFit="1" customWidth="1"/>
    <col min="6" max="6" width="19.25" customWidth="1"/>
    <col min="7" max="7" width="10.5" customWidth="1"/>
    <col min="8" max="8" width="7.83203125" customWidth="1"/>
    <col min="9" max="9" width="9.9140625" customWidth="1"/>
    <col min="10" max="10" width="21.75" customWidth="1"/>
    <col min="11" max="11" width="8.6640625" customWidth="1"/>
    <col min="13" max="13" width="15.08203125" bestFit="1" customWidth="1"/>
    <col min="14" max="14" width="18.83203125" bestFit="1" customWidth="1"/>
    <col min="15" max="15" width="16" bestFit="1" customWidth="1"/>
  </cols>
  <sheetData>
    <row r="1" spans="1:15">
      <c r="A1" s="111" t="s">
        <v>209</v>
      </c>
      <c r="B1" s="111" t="s">
        <v>50</v>
      </c>
      <c r="C1" s="111" t="s">
        <v>187</v>
      </c>
      <c r="D1" s="111" t="s">
        <v>240</v>
      </c>
      <c r="E1" s="111" t="s">
        <v>227</v>
      </c>
      <c r="F1" s="111" t="s">
        <v>229</v>
      </c>
      <c r="G1" s="111" t="s">
        <v>33</v>
      </c>
      <c r="H1" s="111" t="s">
        <v>34</v>
      </c>
      <c r="I1" s="111" t="s">
        <v>35</v>
      </c>
      <c r="J1" s="111" t="s">
        <v>239</v>
      </c>
      <c r="L1" s="123" t="s">
        <v>251</v>
      </c>
      <c r="M1" s="118" t="s">
        <v>252</v>
      </c>
      <c r="N1" s="118" t="s">
        <v>253</v>
      </c>
      <c r="O1" s="118" t="s">
        <v>254</v>
      </c>
    </row>
    <row r="2" spans="1:15">
      <c r="A2" s="124">
        <v>1</v>
      </c>
      <c r="B2" s="119">
        <v>45597</v>
      </c>
      <c r="C2" s="124" t="s">
        <v>241</v>
      </c>
      <c r="D2" s="110" t="s">
        <v>255</v>
      </c>
      <c r="E2" s="110" t="s">
        <v>39</v>
      </c>
      <c r="F2" s="110" t="s">
        <v>233</v>
      </c>
      <c r="G2" s="124" t="s">
        <v>41</v>
      </c>
      <c r="H2" s="124">
        <v>2168</v>
      </c>
      <c r="I2" s="125">
        <v>24854</v>
      </c>
      <c r="J2" s="117">
        <f t="shared" ref="J2" si="0">H2*I2</f>
        <v>53883472</v>
      </c>
      <c r="L2">
        <f t="shared" ref="L2" si="1">YEAR(B2)</f>
        <v>2024</v>
      </c>
      <c r="M2" t="str">
        <f t="shared" ref="M2" si="2">IF(F2="Fresh cherry","Fresh cherry", IF(F2="Green bean","Fresh cherry",IF(F2="Dried cherry","Fresh cherry",F2)))</f>
        <v>Fresh cherry</v>
      </c>
      <c r="N2">
        <f t="shared" ref="N2" si="3">IF(F2="Fresh cherry",H2,IF(F2="Dried cherry",H2*3,IF(F2="Green bean",H2*5,H2)))</f>
        <v>2168</v>
      </c>
      <c r="O2" s="116">
        <f>IF(F2="Fresh cherry",I2,IF(F2="Dried cherry",I2/3,IF(F2="Green bean",I2/5,I2)))</f>
        <v>24854</v>
      </c>
    </row>
    <row r="3" spans="1:15">
      <c r="A3" s="124"/>
      <c r="B3" s="119"/>
      <c r="C3" s="124"/>
      <c r="D3" s="110"/>
      <c r="E3" s="110"/>
      <c r="F3" s="110"/>
      <c r="G3" s="124"/>
      <c r="H3" s="124"/>
      <c r="I3" s="125"/>
      <c r="J3" s="117"/>
      <c r="O3" s="116"/>
    </row>
    <row r="4" spans="1:15">
      <c r="A4" s="124"/>
      <c r="B4" s="119"/>
      <c r="C4" s="124"/>
      <c r="D4" s="110"/>
      <c r="E4" s="110"/>
      <c r="F4" s="110"/>
      <c r="G4" s="124"/>
      <c r="H4" s="124"/>
      <c r="I4" s="125"/>
      <c r="J4" s="117"/>
      <c r="O4" s="116"/>
    </row>
    <row r="5" spans="1:15">
      <c r="A5" s="124"/>
      <c r="B5" s="119"/>
      <c r="C5" s="124"/>
      <c r="D5" s="110"/>
      <c r="E5" s="110"/>
      <c r="F5" s="110"/>
      <c r="G5" s="124"/>
      <c r="H5" s="124"/>
      <c r="I5" s="125"/>
      <c r="J5" s="117"/>
      <c r="O5" s="116"/>
    </row>
    <row r="6" spans="1:15">
      <c r="A6" s="124"/>
      <c r="B6" s="119"/>
      <c r="C6" s="124"/>
      <c r="D6" s="110"/>
      <c r="E6" s="110"/>
      <c r="F6" s="110"/>
      <c r="G6" s="124"/>
      <c r="H6" s="124"/>
      <c r="I6" s="125"/>
      <c r="J6" s="117"/>
      <c r="O6" s="116"/>
    </row>
    <row r="7" spans="1:15">
      <c r="A7" s="124"/>
      <c r="B7" s="119"/>
      <c r="C7" s="124"/>
      <c r="D7" s="110"/>
      <c r="E7" s="110"/>
      <c r="F7" s="110"/>
      <c r="G7" s="124"/>
      <c r="H7" s="124"/>
      <c r="I7" s="125"/>
      <c r="J7" s="117"/>
      <c r="O7" s="116"/>
    </row>
    <row r="8" spans="1:15">
      <c r="A8" s="124"/>
      <c r="B8" s="119"/>
      <c r="C8" s="124"/>
      <c r="D8" s="110"/>
      <c r="E8" s="110"/>
      <c r="F8" s="110"/>
      <c r="G8" s="124"/>
      <c r="H8" s="124"/>
      <c r="I8" s="125"/>
      <c r="J8" s="117"/>
      <c r="O8" s="116"/>
    </row>
    <row r="9" spans="1:15">
      <c r="A9" s="124"/>
      <c r="B9" s="119"/>
      <c r="C9" s="124"/>
      <c r="D9" s="110"/>
      <c r="E9" s="110"/>
      <c r="F9" s="110"/>
      <c r="G9" s="124"/>
      <c r="H9" s="124"/>
      <c r="I9" s="125"/>
      <c r="J9" s="117"/>
      <c r="O9" s="116"/>
    </row>
    <row r="10" spans="1:15">
      <c r="A10" s="124"/>
      <c r="B10" s="119"/>
      <c r="C10" s="124"/>
      <c r="D10" s="110"/>
      <c r="E10" s="110"/>
      <c r="F10" s="110"/>
      <c r="G10" s="124"/>
      <c r="H10" s="124"/>
      <c r="I10" s="125"/>
      <c r="J10" s="117"/>
      <c r="O10" s="116"/>
    </row>
    <row r="11" spans="1:15">
      <c r="A11" s="124"/>
      <c r="B11" s="119"/>
      <c r="C11" s="124"/>
      <c r="D11" s="110"/>
      <c r="E11" s="110"/>
      <c r="F11" s="110"/>
      <c r="G11" s="124"/>
      <c r="H11" s="124"/>
      <c r="I11" s="125"/>
      <c r="J11" s="117"/>
      <c r="O11" s="116"/>
    </row>
    <row r="12" spans="1:15">
      <c r="A12" s="124"/>
      <c r="B12" s="119"/>
      <c r="C12" s="124"/>
      <c r="D12" s="110"/>
      <c r="E12" s="110"/>
      <c r="F12" s="110"/>
      <c r="G12" s="124"/>
      <c r="H12" s="124"/>
      <c r="I12" s="125"/>
      <c r="J12" s="117"/>
      <c r="O12" s="116"/>
    </row>
    <row r="13" spans="1:15">
      <c r="A13" s="124"/>
      <c r="B13" s="119"/>
      <c r="C13" s="124"/>
      <c r="D13" s="110"/>
      <c r="E13" s="110"/>
      <c r="F13" s="110"/>
      <c r="G13" s="124"/>
      <c r="H13" s="124"/>
      <c r="I13" s="125"/>
      <c r="J13" s="117"/>
      <c r="O13" s="116"/>
    </row>
    <row r="14" spans="1:15">
      <c r="A14" s="124"/>
      <c r="B14" s="119"/>
      <c r="C14" s="124"/>
      <c r="D14" s="110"/>
      <c r="E14" s="110"/>
      <c r="F14" s="110"/>
      <c r="G14" s="124"/>
      <c r="H14" s="124"/>
      <c r="I14" s="125"/>
      <c r="J14" s="117"/>
      <c r="O14" s="116"/>
    </row>
    <row r="15" spans="1:15">
      <c r="A15" s="124"/>
      <c r="B15" s="119"/>
      <c r="C15" s="124"/>
      <c r="D15" s="110"/>
      <c r="E15" s="110"/>
      <c r="F15" s="110"/>
      <c r="G15" s="124"/>
      <c r="H15" s="124"/>
      <c r="I15" s="125"/>
      <c r="J15" s="117"/>
      <c r="O15" s="116"/>
    </row>
    <row r="16" spans="1:15">
      <c r="A16" s="124"/>
      <c r="B16" s="119"/>
      <c r="C16" s="124"/>
      <c r="D16" s="110"/>
      <c r="E16" s="110"/>
      <c r="F16" s="110"/>
      <c r="G16" s="124"/>
      <c r="H16" s="124"/>
      <c r="I16" s="125"/>
      <c r="J16" s="117"/>
      <c r="O16" s="116"/>
    </row>
    <row r="17" spans="1:15">
      <c r="A17" s="124"/>
      <c r="B17" s="119"/>
      <c r="C17" s="124"/>
      <c r="D17" s="110"/>
      <c r="E17" s="110"/>
      <c r="F17" s="110"/>
      <c r="G17" s="124"/>
      <c r="H17" s="124"/>
      <c r="I17" s="125"/>
      <c r="J17" s="117"/>
      <c r="O17" s="116"/>
    </row>
    <row r="18" spans="1:15">
      <c r="A18" s="124"/>
      <c r="B18" s="119"/>
      <c r="C18" s="124"/>
      <c r="D18" s="110"/>
      <c r="E18" s="110"/>
      <c r="F18" s="110"/>
      <c r="G18" s="124"/>
      <c r="H18" s="124"/>
      <c r="I18" s="125"/>
      <c r="J18" s="117"/>
      <c r="O18" s="116"/>
    </row>
    <row r="19" spans="1:15">
      <c r="A19" s="124"/>
      <c r="B19" s="119"/>
      <c r="C19" s="110"/>
      <c r="D19" s="110"/>
      <c r="E19" s="110"/>
      <c r="F19" s="110"/>
      <c r="G19" s="110"/>
      <c r="H19" s="110"/>
      <c r="I19" s="115"/>
      <c r="J19" s="117"/>
      <c r="O19" s="116"/>
    </row>
    <row r="20" spans="1:15">
      <c r="A20" s="124"/>
      <c r="B20" s="119"/>
      <c r="C20" s="110"/>
      <c r="D20" s="110"/>
      <c r="E20" s="110"/>
      <c r="F20" s="110"/>
      <c r="G20" s="110"/>
      <c r="H20" s="110"/>
      <c r="I20" s="115"/>
      <c r="J20" s="117"/>
      <c r="O20" s="116"/>
    </row>
    <row r="21" spans="1:15">
      <c r="A21" s="124"/>
      <c r="B21" s="119"/>
      <c r="C21" s="110"/>
      <c r="D21" s="110"/>
      <c r="E21" s="110"/>
      <c r="F21" s="110"/>
      <c r="G21" s="110"/>
      <c r="H21" s="110"/>
      <c r="I21" s="115"/>
      <c r="J21" s="117"/>
      <c r="O21" s="116"/>
    </row>
    <row r="22" spans="1:15">
      <c r="A22" s="124"/>
      <c r="B22" s="119"/>
      <c r="C22" s="110"/>
      <c r="D22" s="110"/>
      <c r="E22" s="110"/>
      <c r="F22" s="110"/>
      <c r="G22" s="110"/>
      <c r="H22" s="110"/>
      <c r="I22" s="115"/>
      <c r="J22" s="117"/>
      <c r="O22" s="116"/>
    </row>
    <row r="23" spans="1:15">
      <c r="A23" s="124"/>
      <c r="B23" s="119"/>
      <c r="C23" s="110"/>
      <c r="D23" s="110"/>
      <c r="E23" s="110"/>
      <c r="F23" s="110"/>
      <c r="G23" s="110"/>
      <c r="H23" s="110"/>
      <c r="I23" s="115"/>
      <c r="J23" s="117"/>
      <c r="O23" s="116"/>
    </row>
    <row r="24" spans="1:15">
      <c r="A24" s="124"/>
      <c r="B24" s="119"/>
      <c r="C24" s="110"/>
      <c r="D24" s="110"/>
      <c r="E24" s="110"/>
      <c r="F24" s="110"/>
      <c r="G24" s="110"/>
      <c r="H24" s="110"/>
      <c r="I24" s="115"/>
      <c r="J24" s="117"/>
      <c r="K24" s="120"/>
      <c r="O24" s="116"/>
    </row>
    <row r="25" spans="1:15">
      <c r="A25" s="124"/>
      <c r="B25" s="119"/>
      <c r="C25" s="110"/>
      <c r="D25" s="110"/>
      <c r="E25" s="110"/>
      <c r="F25" s="110"/>
      <c r="G25" s="110"/>
      <c r="H25" s="110"/>
      <c r="I25" s="115"/>
      <c r="J25" s="117"/>
      <c r="O25" s="116"/>
    </row>
    <row r="26" spans="1:15">
      <c r="A26" s="124"/>
      <c r="B26" s="119"/>
      <c r="C26" s="110"/>
      <c r="D26" s="110"/>
      <c r="E26" s="110"/>
      <c r="F26" s="110"/>
      <c r="G26" s="110"/>
      <c r="H26" s="110"/>
      <c r="I26" s="115"/>
      <c r="J26" s="117"/>
      <c r="O26" s="116"/>
    </row>
    <row r="27" spans="1:15">
      <c r="A27" s="124"/>
      <c r="B27" s="119"/>
      <c r="C27" s="110"/>
      <c r="D27" s="110"/>
      <c r="E27" s="110"/>
      <c r="F27" s="110"/>
      <c r="G27" s="110"/>
      <c r="H27" s="110"/>
      <c r="I27" s="115"/>
      <c r="J27" s="117"/>
      <c r="O27" s="116"/>
    </row>
    <row r="28" spans="1:15">
      <c r="A28" s="124"/>
      <c r="B28" s="119"/>
      <c r="C28" s="110"/>
      <c r="D28" s="110"/>
      <c r="E28" s="110"/>
      <c r="F28" s="110"/>
      <c r="G28" s="110"/>
      <c r="H28" s="110"/>
      <c r="I28" s="115"/>
      <c r="J28" s="117"/>
      <c r="O28" s="116"/>
    </row>
    <row r="29" spans="1:15">
      <c r="A29" s="124"/>
      <c r="B29" s="119"/>
      <c r="C29" s="110"/>
      <c r="D29" s="110"/>
      <c r="E29" s="110"/>
      <c r="F29" s="110"/>
      <c r="G29" s="110"/>
      <c r="H29" s="110"/>
      <c r="I29" s="115"/>
      <c r="J29" s="117"/>
      <c r="O29" s="116"/>
    </row>
    <row r="30" spans="1:15">
      <c r="A30" s="124"/>
      <c r="B30" s="119"/>
      <c r="C30" s="110"/>
      <c r="D30" s="110"/>
      <c r="E30" s="110"/>
      <c r="F30" s="110"/>
      <c r="G30" s="110"/>
      <c r="H30" s="110"/>
      <c r="I30" s="115"/>
      <c r="J30" s="117"/>
      <c r="O30" s="116"/>
    </row>
    <row r="31" spans="1:15">
      <c r="A31" s="124"/>
      <c r="B31" s="119"/>
      <c r="C31" s="110"/>
      <c r="D31" s="110"/>
      <c r="E31" s="110"/>
      <c r="F31" s="110"/>
      <c r="G31" s="110"/>
      <c r="H31" s="110"/>
      <c r="I31" s="115"/>
      <c r="J31" s="117"/>
      <c r="O31" s="116"/>
    </row>
    <row r="32" spans="1:15">
      <c r="A32" s="124"/>
      <c r="B32" s="119"/>
      <c r="C32" s="110"/>
      <c r="D32" s="110"/>
      <c r="E32" s="110"/>
      <c r="F32" s="110"/>
      <c r="G32" s="110"/>
      <c r="H32" s="110"/>
      <c r="I32" s="115"/>
      <c r="J32" s="117"/>
      <c r="O32" s="116"/>
    </row>
    <row r="33" spans="1:15">
      <c r="A33" s="124"/>
      <c r="B33" s="119"/>
      <c r="C33" s="110"/>
      <c r="D33" s="110"/>
      <c r="E33" s="110"/>
      <c r="F33" s="110"/>
      <c r="G33" s="110"/>
      <c r="H33" s="110"/>
      <c r="I33" s="115"/>
      <c r="J33" s="117"/>
      <c r="O33" s="116"/>
    </row>
    <row r="34" spans="1:15">
      <c r="A34" s="124"/>
      <c r="B34" s="119"/>
      <c r="C34" s="110"/>
      <c r="D34" s="110"/>
      <c r="E34" s="110"/>
      <c r="F34" s="110"/>
      <c r="G34" s="110"/>
      <c r="H34" s="110"/>
      <c r="I34" s="115"/>
      <c r="J34" s="117"/>
      <c r="O34" s="116"/>
    </row>
    <row r="35" spans="1:15">
      <c r="A35" s="124"/>
      <c r="B35" s="119"/>
      <c r="C35" s="110"/>
      <c r="D35" s="110"/>
      <c r="E35" s="110"/>
      <c r="F35" s="110"/>
      <c r="G35" s="110"/>
      <c r="H35" s="110"/>
      <c r="I35" s="115"/>
      <c r="J35" s="117"/>
      <c r="O35" s="116"/>
    </row>
    <row r="36" spans="1:15">
      <c r="A36" s="124"/>
      <c r="B36" s="119"/>
      <c r="C36" s="110"/>
      <c r="D36" s="110"/>
      <c r="E36" s="110"/>
      <c r="F36" s="110"/>
      <c r="G36" s="110"/>
      <c r="H36" s="110"/>
      <c r="I36" s="115"/>
      <c r="J36" s="117"/>
      <c r="O36" s="116"/>
    </row>
    <row r="37" spans="1:15">
      <c r="A37" s="124"/>
      <c r="B37" s="119"/>
      <c r="C37" s="110"/>
      <c r="D37" s="110"/>
      <c r="E37" s="110"/>
      <c r="F37" s="110"/>
      <c r="G37" s="110"/>
      <c r="H37" s="110"/>
      <c r="I37" s="115"/>
      <c r="J37" s="117"/>
      <c r="O37" s="116"/>
    </row>
    <row r="38" spans="1:15">
      <c r="A38" s="124"/>
      <c r="B38" s="119"/>
      <c r="C38" s="110"/>
      <c r="D38" s="110"/>
      <c r="E38" s="110"/>
      <c r="F38" s="110"/>
      <c r="G38" s="110"/>
      <c r="H38" s="110"/>
      <c r="I38" s="115"/>
      <c r="J38" s="117"/>
      <c r="O38" s="116"/>
    </row>
    <row r="39" spans="1:15">
      <c r="A39" s="124"/>
      <c r="B39" s="119"/>
      <c r="C39" s="110"/>
      <c r="D39" s="110"/>
      <c r="E39" s="110"/>
      <c r="F39" s="110"/>
      <c r="G39" s="110"/>
      <c r="H39" s="110"/>
      <c r="I39" s="115"/>
      <c r="J39" s="117"/>
      <c r="O39" s="116"/>
    </row>
    <row r="40" spans="1:15">
      <c r="A40" s="124"/>
      <c r="B40" s="119"/>
      <c r="C40" s="110"/>
      <c r="D40" s="110"/>
      <c r="E40" s="110"/>
      <c r="F40" s="110"/>
      <c r="G40" s="110"/>
      <c r="H40" s="110"/>
      <c r="I40" s="115"/>
      <c r="J40" s="117"/>
      <c r="O40" s="116"/>
    </row>
    <row r="41" spans="1:15">
      <c r="A41" s="124"/>
      <c r="B41" s="119"/>
      <c r="C41" s="110"/>
      <c r="D41" s="110"/>
      <c r="E41" s="110"/>
      <c r="F41" s="110"/>
      <c r="G41" s="110"/>
      <c r="H41" s="110"/>
      <c r="I41" s="115"/>
      <c r="J41" s="117"/>
      <c r="O41" s="116"/>
    </row>
    <row r="42" spans="1:15">
      <c r="A42" s="124"/>
      <c r="B42" s="119"/>
      <c r="C42" s="110"/>
      <c r="D42" s="110"/>
      <c r="E42" s="110"/>
      <c r="F42" s="110"/>
      <c r="G42" s="110"/>
      <c r="H42" s="110"/>
      <c r="I42" s="115"/>
      <c r="J42" s="117"/>
      <c r="O42" s="116"/>
    </row>
    <row r="43" spans="1:15">
      <c r="A43" s="124"/>
      <c r="B43" s="119"/>
      <c r="C43" s="110"/>
      <c r="D43" s="110"/>
      <c r="E43" s="110"/>
      <c r="F43" s="110"/>
      <c r="G43" s="110"/>
      <c r="H43" s="110"/>
      <c r="I43" s="115"/>
      <c r="J43" s="117"/>
      <c r="O43" s="116"/>
    </row>
    <row r="44" spans="1:15">
      <c r="A44" s="124"/>
      <c r="B44" s="119"/>
      <c r="C44" s="110"/>
      <c r="D44" s="110"/>
      <c r="E44" s="110"/>
      <c r="F44" s="110"/>
      <c r="G44" s="110"/>
      <c r="H44" s="110"/>
      <c r="I44" s="115"/>
      <c r="J44" s="117"/>
      <c r="O44" s="116"/>
    </row>
    <row r="45" spans="1:15">
      <c r="A45" s="124"/>
      <c r="B45" s="119"/>
      <c r="C45" s="110"/>
      <c r="D45" s="110"/>
      <c r="E45" s="110"/>
      <c r="F45" s="110"/>
      <c r="G45" s="110"/>
      <c r="H45" s="110"/>
      <c r="I45" s="115"/>
      <c r="J45" s="117"/>
      <c r="O45" s="116"/>
    </row>
    <row r="46" spans="1:15">
      <c r="A46" s="124"/>
      <c r="B46" s="119"/>
      <c r="C46" s="110"/>
      <c r="D46" s="110"/>
      <c r="E46" s="110"/>
      <c r="F46" s="110"/>
      <c r="G46" s="110"/>
      <c r="H46" s="110"/>
      <c r="I46" s="115"/>
      <c r="J46" s="117"/>
      <c r="O46" s="116"/>
    </row>
    <row r="47" spans="1:15">
      <c r="A47" s="124"/>
      <c r="B47" s="119"/>
      <c r="C47" s="110"/>
      <c r="D47" s="110"/>
      <c r="E47" s="110"/>
      <c r="F47" s="110"/>
      <c r="G47" s="110"/>
      <c r="H47" s="110"/>
      <c r="I47" s="115"/>
      <c r="J47" s="117"/>
      <c r="O47" s="116"/>
    </row>
    <row r="48" spans="1:15">
      <c r="A48" s="124"/>
      <c r="B48" s="119"/>
      <c r="C48" s="110"/>
      <c r="D48" s="110"/>
      <c r="E48" s="110"/>
      <c r="F48" s="110"/>
      <c r="G48" s="110"/>
      <c r="H48" s="110"/>
      <c r="I48" s="115"/>
      <c r="J48" s="117"/>
      <c r="O48" s="116"/>
    </row>
    <row r="49" spans="1:15">
      <c r="A49" s="124"/>
      <c r="B49" s="119"/>
      <c r="C49" s="110"/>
      <c r="D49" s="110"/>
      <c r="E49" s="110"/>
      <c r="F49" s="110"/>
      <c r="G49" s="110"/>
      <c r="H49" s="110"/>
      <c r="I49" s="115"/>
      <c r="J49" s="117"/>
      <c r="O49" s="116"/>
    </row>
    <row r="50" spans="1:15">
      <c r="A50" s="124"/>
      <c r="B50" s="119"/>
      <c r="C50" s="110"/>
      <c r="D50" s="110"/>
      <c r="E50" s="110"/>
      <c r="F50" s="110"/>
      <c r="G50" s="110"/>
      <c r="H50" s="110"/>
      <c r="I50" s="115"/>
      <c r="J50" s="117"/>
      <c r="O50" s="116"/>
    </row>
    <row r="51" spans="1:15">
      <c r="A51" s="124"/>
      <c r="B51" s="119"/>
      <c r="C51" s="110"/>
      <c r="D51" s="110"/>
      <c r="E51" s="110"/>
      <c r="F51" s="110"/>
      <c r="G51" s="110"/>
      <c r="H51" s="110"/>
      <c r="I51" s="115"/>
      <c r="J51" s="117"/>
      <c r="O51" s="116"/>
    </row>
    <row r="52" spans="1:15">
      <c r="A52" s="124"/>
      <c r="B52" s="119"/>
      <c r="C52" s="110"/>
      <c r="D52" s="110"/>
      <c r="E52" s="110"/>
      <c r="F52" s="110"/>
      <c r="G52" s="110"/>
      <c r="H52" s="110"/>
      <c r="I52" s="115"/>
      <c r="J52" s="117"/>
      <c r="O52" s="116"/>
    </row>
    <row r="53" spans="1:15">
      <c r="A53" s="124"/>
      <c r="B53" s="119"/>
      <c r="C53" s="110"/>
      <c r="D53" s="110"/>
      <c r="E53" s="110"/>
      <c r="F53" s="110"/>
      <c r="G53" s="110"/>
      <c r="H53" s="110"/>
      <c r="I53" s="115"/>
      <c r="J53" s="117"/>
      <c r="O53" s="116"/>
    </row>
    <row r="54" spans="1:15">
      <c r="A54" s="124"/>
      <c r="B54" s="119"/>
      <c r="C54" s="110"/>
      <c r="D54" s="110"/>
      <c r="E54" s="110"/>
      <c r="F54" s="110"/>
      <c r="G54" s="110"/>
      <c r="H54" s="110"/>
      <c r="I54" s="115"/>
      <c r="J54" s="117"/>
      <c r="O54" s="116"/>
    </row>
    <row r="55" spans="1:15">
      <c r="A55" s="124"/>
      <c r="B55" s="119"/>
      <c r="C55" s="110"/>
      <c r="D55" s="110"/>
      <c r="E55" s="110"/>
      <c r="F55" s="110"/>
      <c r="G55" s="110"/>
      <c r="H55" s="110"/>
      <c r="I55" s="115"/>
      <c r="J55" s="117"/>
      <c r="O55" s="116"/>
    </row>
    <row r="56" spans="1:15">
      <c r="A56" s="124"/>
      <c r="B56" s="119"/>
      <c r="C56" s="110"/>
      <c r="D56" s="110"/>
      <c r="E56" s="110"/>
      <c r="F56" s="110"/>
      <c r="G56" s="110"/>
      <c r="H56" s="110"/>
      <c r="I56" s="115"/>
      <c r="J56" s="117"/>
      <c r="O56" s="116"/>
    </row>
    <row r="57" spans="1:15">
      <c r="A57" s="124"/>
      <c r="B57" s="119"/>
      <c r="C57" s="110"/>
      <c r="D57" s="110"/>
      <c r="E57" s="110"/>
      <c r="F57" s="110"/>
      <c r="G57" s="110"/>
      <c r="H57" s="110"/>
      <c r="I57" s="115"/>
      <c r="J57" s="117"/>
      <c r="O57" s="116"/>
    </row>
    <row r="58" spans="1:15">
      <c r="A58" s="124"/>
      <c r="B58" s="119"/>
      <c r="C58" s="110"/>
      <c r="D58" s="110"/>
      <c r="E58" s="110"/>
      <c r="F58" s="110"/>
      <c r="G58" s="110"/>
      <c r="H58" s="110"/>
      <c r="I58" s="115"/>
      <c r="J58" s="117"/>
      <c r="O58" s="116"/>
    </row>
    <row r="59" spans="1:15">
      <c r="A59" s="124"/>
      <c r="B59" s="119"/>
      <c r="C59" s="110"/>
      <c r="D59" s="110"/>
      <c r="E59" s="110"/>
      <c r="F59" s="110"/>
      <c r="G59" s="110"/>
      <c r="H59" s="110"/>
      <c r="I59" s="115"/>
      <c r="J59" s="117"/>
      <c r="O59" s="116"/>
    </row>
    <row r="60" spans="1:15">
      <c r="A60" s="124"/>
      <c r="B60" s="119"/>
      <c r="C60" s="110"/>
      <c r="D60" s="110"/>
      <c r="E60" s="110"/>
      <c r="F60" s="110"/>
      <c r="G60" s="110"/>
      <c r="H60" s="110"/>
      <c r="I60" s="115"/>
      <c r="J60" s="117"/>
      <c r="O60" s="116"/>
    </row>
    <row r="61" spans="1:15">
      <c r="A61" s="124"/>
      <c r="B61" s="119"/>
      <c r="C61" s="110"/>
      <c r="D61" s="110"/>
      <c r="E61" s="110"/>
      <c r="F61" s="110"/>
      <c r="G61" s="110"/>
      <c r="H61" s="110"/>
      <c r="I61" s="115"/>
      <c r="J61" s="117"/>
      <c r="O61" s="116"/>
    </row>
    <row r="62" spans="1:15">
      <c r="A62" s="124"/>
      <c r="B62" s="119"/>
      <c r="C62" s="110"/>
      <c r="D62" s="110"/>
      <c r="E62" s="110"/>
      <c r="F62" s="110"/>
      <c r="G62" s="110"/>
      <c r="H62" s="110"/>
      <c r="I62" s="115"/>
      <c r="J62" s="117"/>
      <c r="O62" s="116"/>
    </row>
    <row r="63" spans="1:15">
      <c r="A63" s="124"/>
      <c r="B63" s="119"/>
      <c r="C63" s="110"/>
      <c r="D63" s="110"/>
      <c r="E63" s="110"/>
      <c r="F63" s="110"/>
      <c r="G63" s="110"/>
      <c r="H63" s="110"/>
      <c r="I63" s="115"/>
      <c r="J63" s="117"/>
      <c r="O63" s="116"/>
    </row>
    <row r="64" spans="1:15">
      <c r="A64" s="124"/>
      <c r="B64" s="119"/>
      <c r="C64" s="110"/>
      <c r="D64" s="110"/>
      <c r="E64" s="110"/>
      <c r="F64" s="110"/>
      <c r="G64" s="110"/>
      <c r="H64" s="110"/>
      <c r="I64" s="115"/>
      <c r="J64" s="117"/>
      <c r="O64" s="116"/>
    </row>
    <row r="65" spans="1:15">
      <c r="A65" s="124"/>
      <c r="B65" s="119"/>
      <c r="C65" s="110"/>
      <c r="D65" s="110"/>
      <c r="E65" s="110"/>
      <c r="F65" s="110"/>
      <c r="G65" s="110"/>
      <c r="H65" s="110"/>
      <c r="I65" s="115"/>
      <c r="J65" s="117"/>
      <c r="O65" s="116"/>
    </row>
    <row r="66" spans="1:15">
      <c r="A66" s="124"/>
      <c r="B66" s="119"/>
      <c r="C66" s="110"/>
      <c r="D66" s="110"/>
      <c r="E66" s="110"/>
      <c r="F66" s="110"/>
      <c r="G66" s="110"/>
      <c r="H66" s="110"/>
      <c r="I66" s="115"/>
      <c r="J66" s="117"/>
      <c r="O66" s="116"/>
    </row>
    <row r="67" spans="1:15">
      <c r="A67" s="124"/>
      <c r="B67" s="119"/>
      <c r="C67" s="110"/>
      <c r="D67" s="110"/>
      <c r="E67" s="110"/>
      <c r="F67" s="110"/>
      <c r="G67" s="110"/>
      <c r="H67" s="110"/>
      <c r="I67" s="115"/>
      <c r="J67" s="117"/>
      <c r="O67" s="116"/>
    </row>
    <row r="68" spans="1:15">
      <c r="A68" s="124"/>
      <c r="B68" s="119"/>
      <c r="C68" s="110"/>
      <c r="D68" s="110"/>
      <c r="E68" s="110"/>
      <c r="F68" s="110"/>
      <c r="G68" s="110"/>
      <c r="H68" s="110"/>
      <c r="I68" s="115"/>
      <c r="J68" s="117"/>
      <c r="O68" s="116"/>
    </row>
    <row r="69" spans="1:15">
      <c r="A69" s="124"/>
      <c r="B69" s="119"/>
      <c r="C69" s="110"/>
      <c r="D69" s="110"/>
      <c r="E69" s="110"/>
      <c r="F69" s="110"/>
      <c r="G69" s="110"/>
      <c r="H69" s="110"/>
      <c r="I69" s="115"/>
      <c r="J69" s="117"/>
      <c r="O69" s="116"/>
    </row>
    <row r="70" spans="1:15">
      <c r="A70" s="124"/>
      <c r="B70" s="119"/>
      <c r="C70" s="110"/>
      <c r="D70" s="110"/>
      <c r="E70" s="110"/>
      <c r="F70" s="110"/>
      <c r="G70" s="110"/>
      <c r="H70" s="110"/>
      <c r="I70" s="115"/>
      <c r="J70" s="117"/>
      <c r="O70" s="116"/>
    </row>
    <row r="71" spans="1:15">
      <c r="A71" s="124"/>
      <c r="B71" s="119"/>
      <c r="C71" s="110"/>
      <c r="D71" s="110"/>
      <c r="E71" s="110"/>
      <c r="F71" s="110"/>
      <c r="G71" s="110"/>
      <c r="H71" s="110"/>
      <c r="I71" s="115"/>
      <c r="J71" s="117"/>
      <c r="O71" s="116"/>
    </row>
    <row r="72" spans="1:15">
      <c r="A72" s="124"/>
      <c r="B72" s="119"/>
      <c r="C72" s="110"/>
      <c r="D72" s="110"/>
      <c r="E72" s="110"/>
      <c r="F72" s="110"/>
      <c r="G72" s="110"/>
      <c r="H72" s="110"/>
      <c r="I72" s="115"/>
      <c r="J72" s="117"/>
      <c r="O72" s="116"/>
    </row>
    <row r="73" spans="1:15">
      <c r="A73" s="124"/>
      <c r="B73" s="119"/>
      <c r="C73" s="110"/>
      <c r="D73" s="110"/>
      <c r="E73" s="110"/>
      <c r="F73" s="110"/>
      <c r="G73" s="110"/>
      <c r="H73" s="110"/>
      <c r="I73" s="115"/>
      <c r="J73" s="117"/>
      <c r="O73" s="116"/>
    </row>
    <row r="74" spans="1:15">
      <c r="A74" s="124"/>
      <c r="B74" s="119"/>
      <c r="C74" s="110"/>
      <c r="D74" s="110"/>
      <c r="E74" s="110"/>
      <c r="F74" s="110"/>
      <c r="G74" s="110"/>
      <c r="H74" s="110"/>
      <c r="I74" s="115"/>
      <c r="J74" s="117"/>
      <c r="O74" s="116"/>
    </row>
    <row r="75" spans="1:15">
      <c r="A75" s="124"/>
      <c r="B75" s="119"/>
      <c r="C75" s="110"/>
      <c r="D75" s="110"/>
      <c r="E75" s="110"/>
      <c r="F75" s="110"/>
      <c r="G75" s="110"/>
      <c r="H75" s="110"/>
      <c r="I75" s="115"/>
      <c r="J75" s="117"/>
      <c r="O75" s="116"/>
    </row>
    <row r="76" spans="1:15">
      <c r="A76" s="124"/>
      <c r="B76" s="119"/>
      <c r="C76" s="110"/>
      <c r="D76" s="110"/>
      <c r="E76" s="110"/>
      <c r="F76" s="110"/>
      <c r="G76" s="110"/>
      <c r="H76" s="110"/>
      <c r="I76" s="115"/>
      <c r="J76" s="117"/>
      <c r="O76" s="116"/>
    </row>
    <row r="77" spans="1:15">
      <c r="A77" s="124"/>
      <c r="B77" s="119"/>
      <c r="C77" s="110"/>
      <c r="D77" s="110"/>
      <c r="E77" s="110"/>
      <c r="F77" s="110"/>
      <c r="G77" s="110"/>
      <c r="H77" s="110"/>
      <c r="I77" s="115"/>
      <c r="J77" s="117"/>
      <c r="O77" s="116"/>
    </row>
    <row r="78" spans="1:15">
      <c r="A78" s="124"/>
      <c r="B78" s="119"/>
      <c r="C78" s="110"/>
      <c r="D78" s="110"/>
      <c r="E78" s="110"/>
      <c r="F78" s="110"/>
      <c r="G78" s="110"/>
      <c r="H78" s="110"/>
      <c r="I78" s="115"/>
      <c r="J78" s="117"/>
      <c r="O78" s="116"/>
    </row>
    <row r="79" spans="1:15">
      <c r="A79" s="124"/>
      <c r="B79" s="119"/>
      <c r="C79" s="110"/>
      <c r="D79" s="110"/>
      <c r="E79" s="110"/>
      <c r="F79" s="110"/>
      <c r="G79" s="110"/>
      <c r="H79" s="110"/>
      <c r="I79" s="115"/>
      <c r="J79" s="117"/>
      <c r="O79" s="116"/>
    </row>
    <row r="80" spans="1:15">
      <c r="A80" s="124"/>
      <c r="B80" s="119"/>
      <c r="C80" s="110"/>
      <c r="D80" s="110"/>
      <c r="E80" s="110"/>
      <c r="F80" s="110"/>
      <c r="G80" s="110"/>
      <c r="H80" s="110"/>
      <c r="I80" s="115"/>
      <c r="J80" s="117"/>
      <c r="O80" s="116"/>
    </row>
    <row r="81" spans="1:15">
      <c r="A81" s="124"/>
      <c r="B81" s="119"/>
      <c r="C81" s="110"/>
      <c r="D81" s="110"/>
      <c r="E81" s="110"/>
      <c r="F81" s="110"/>
      <c r="G81" s="110"/>
      <c r="H81" s="110"/>
      <c r="I81" s="115"/>
      <c r="J81" s="117"/>
      <c r="O81" s="116"/>
    </row>
    <row r="82" spans="1:15">
      <c r="A82" s="124"/>
      <c r="B82" s="119"/>
      <c r="C82" s="110"/>
      <c r="D82" s="110"/>
      <c r="E82" s="110"/>
      <c r="F82" s="110"/>
      <c r="G82" s="110"/>
      <c r="H82" s="110"/>
      <c r="I82" s="115"/>
      <c r="J82" s="117"/>
      <c r="O82" s="116"/>
    </row>
    <row r="83" spans="1:15">
      <c r="A83" s="124"/>
      <c r="B83" s="119"/>
      <c r="C83" s="110"/>
      <c r="D83" s="110"/>
      <c r="E83" s="110"/>
      <c r="F83" s="110"/>
      <c r="G83" s="110"/>
      <c r="H83" s="110"/>
      <c r="I83" s="115"/>
      <c r="J83" s="117"/>
      <c r="O83" s="116"/>
    </row>
    <row r="84" spans="1:15">
      <c r="A84" s="124"/>
      <c r="B84" s="119"/>
      <c r="C84" s="110"/>
      <c r="D84" s="110"/>
      <c r="E84" s="110"/>
      <c r="F84" s="110"/>
      <c r="G84" s="110"/>
      <c r="H84" s="110"/>
      <c r="I84" s="115"/>
      <c r="J84" s="117"/>
      <c r="O84" s="116"/>
    </row>
    <row r="85" spans="1:15">
      <c r="A85" s="124"/>
      <c r="B85" s="119"/>
      <c r="C85" s="110"/>
      <c r="D85" s="110"/>
      <c r="E85" s="110"/>
      <c r="F85" s="110"/>
      <c r="G85" s="110"/>
      <c r="H85" s="110"/>
      <c r="I85" s="115"/>
      <c r="J85" s="117"/>
      <c r="O85" s="116"/>
    </row>
    <row r="86" spans="1:15">
      <c r="A86" s="124"/>
      <c r="B86" s="119"/>
      <c r="C86" s="110"/>
      <c r="D86" s="110"/>
      <c r="E86" s="110"/>
      <c r="F86" s="110"/>
      <c r="G86" s="110"/>
      <c r="H86" s="110"/>
      <c r="I86" s="115"/>
      <c r="J86" s="117"/>
      <c r="O86" s="116"/>
    </row>
    <row r="87" spans="1:15">
      <c r="A87" s="124"/>
      <c r="B87" s="119"/>
      <c r="C87" s="110"/>
      <c r="D87" s="110"/>
      <c r="E87" s="110"/>
      <c r="F87" s="110"/>
      <c r="G87" s="110"/>
      <c r="H87" s="110"/>
      <c r="I87" s="115"/>
      <c r="J87" s="117"/>
      <c r="O87" s="116"/>
    </row>
    <row r="88" spans="1:15">
      <c r="A88" s="124"/>
      <c r="B88" s="119"/>
      <c r="C88" s="110"/>
      <c r="D88" s="110"/>
      <c r="E88" s="110"/>
      <c r="F88" s="110"/>
      <c r="G88" s="110"/>
      <c r="H88" s="110"/>
      <c r="I88" s="115"/>
      <c r="J88" s="117"/>
      <c r="O88" s="116"/>
    </row>
    <row r="89" spans="1:15">
      <c r="A89" s="124"/>
      <c r="B89" s="119"/>
      <c r="C89" s="110"/>
      <c r="D89" s="110"/>
      <c r="E89" s="110"/>
      <c r="F89" s="110"/>
      <c r="G89" s="110"/>
      <c r="H89" s="110"/>
      <c r="I89" s="115"/>
      <c r="J89" s="117"/>
      <c r="O89" s="116"/>
    </row>
    <row r="90" spans="1:15">
      <c r="A90" s="124"/>
      <c r="B90" s="119"/>
      <c r="C90" s="110"/>
      <c r="D90" s="110"/>
      <c r="E90" s="110"/>
      <c r="F90" s="110"/>
      <c r="G90" s="110"/>
      <c r="H90" s="110"/>
      <c r="I90" s="115"/>
      <c r="J90" s="117"/>
      <c r="O90" s="116"/>
    </row>
    <row r="91" spans="1:15">
      <c r="A91" s="124"/>
      <c r="B91" s="119"/>
      <c r="C91" s="110"/>
      <c r="D91" s="110"/>
      <c r="E91" s="110"/>
      <c r="F91" s="110"/>
      <c r="G91" s="110"/>
      <c r="H91" s="110"/>
      <c r="I91" s="115"/>
      <c r="J91" s="117"/>
      <c r="O91" s="116"/>
    </row>
    <row r="92" spans="1:15">
      <c r="A92" s="124"/>
      <c r="B92" s="119"/>
      <c r="C92" s="110"/>
      <c r="D92" s="110"/>
      <c r="E92" s="110"/>
      <c r="F92" s="110"/>
      <c r="G92" s="110"/>
      <c r="H92" s="110"/>
      <c r="I92" s="115"/>
      <c r="J92" s="117"/>
      <c r="O92" s="116"/>
    </row>
    <row r="93" spans="1:15">
      <c r="A93" s="124"/>
      <c r="B93" s="119"/>
      <c r="C93" s="110"/>
      <c r="D93" s="110"/>
      <c r="E93" s="110"/>
      <c r="F93" s="110"/>
      <c r="G93" s="110"/>
      <c r="H93" s="110"/>
      <c r="I93" s="115"/>
      <c r="J93" s="117"/>
      <c r="O93" s="116"/>
    </row>
    <row r="94" spans="1:15">
      <c r="A94" s="124"/>
      <c r="B94" s="119">
        <v>45546</v>
      </c>
      <c r="C94" s="110" t="s">
        <v>248</v>
      </c>
      <c r="D94" s="110" t="s">
        <v>257</v>
      </c>
      <c r="E94" s="110" t="s">
        <v>228</v>
      </c>
      <c r="F94" s="110" t="s">
        <v>237</v>
      </c>
      <c r="G94" s="110" t="s">
        <v>41</v>
      </c>
      <c r="H94" s="110">
        <v>50</v>
      </c>
      <c r="I94" s="115">
        <v>71200</v>
      </c>
      <c r="J94" s="117">
        <f t="shared" ref="J94:J112" si="4">H94*I94</f>
        <v>3560000</v>
      </c>
      <c r="L94">
        <f t="shared" ref="L94:L99" si="5">YEAR(B94)</f>
        <v>2024</v>
      </c>
      <c r="M94" t="str">
        <f t="shared" ref="M94:M99" si="6">IF(F94="Fresh cherry","Fresh cherry", IF(F94="Green bean","Fresh cherry",IF(F94="Dried cherry","Fresh cherry",F94)))</f>
        <v>Durian</v>
      </c>
      <c r="N94">
        <f t="shared" ref="N94:N99" si="7">IF(F94="Fresh cherry",H94,IF(F94="Dried cherry",H94*3,IF(F94="Green bean",H94*5,H94)))</f>
        <v>50</v>
      </c>
      <c r="O94" s="116">
        <f t="shared" ref="O94:O112" si="8">IF(F94="Fresh cherry",I94,IF(F94="Dried cherry",I94/3,IF(F94="Green bean",I94/5,I94)))</f>
        <v>71200</v>
      </c>
    </row>
    <row r="95" spans="1:15">
      <c r="A95" s="124">
        <v>93</v>
      </c>
      <c r="B95" s="119">
        <v>46060</v>
      </c>
      <c r="C95" s="110" t="s">
        <v>248</v>
      </c>
      <c r="D95" s="110" t="s">
        <v>255</v>
      </c>
      <c r="E95" s="110" t="s">
        <v>228</v>
      </c>
      <c r="F95" s="110" t="s">
        <v>237</v>
      </c>
      <c r="G95" s="110" t="s">
        <v>41</v>
      </c>
      <c r="H95" s="110">
        <v>1597</v>
      </c>
      <c r="I95" s="115">
        <v>69685</v>
      </c>
      <c r="J95" s="117">
        <f t="shared" si="4"/>
        <v>111286945</v>
      </c>
      <c r="L95">
        <f t="shared" si="5"/>
        <v>2026</v>
      </c>
      <c r="M95" t="str">
        <f t="shared" si="6"/>
        <v>Durian</v>
      </c>
      <c r="N95">
        <f t="shared" si="7"/>
        <v>1597</v>
      </c>
      <c r="O95" s="116">
        <f t="shared" si="8"/>
        <v>69685</v>
      </c>
    </row>
    <row r="96" spans="1:15">
      <c r="A96" s="124">
        <v>94</v>
      </c>
      <c r="B96" s="119">
        <v>46062</v>
      </c>
      <c r="C96" s="110" t="s">
        <v>245</v>
      </c>
      <c r="D96" s="110" t="s">
        <v>256</v>
      </c>
      <c r="E96" s="110" t="s">
        <v>228</v>
      </c>
      <c r="F96" s="110" t="s">
        <v>237</v>
      </c>
      <c r="G96" s="110" t="s">
        <v>41</v>
      </c>
      <c r="H96" s="110">
        <v>184</v>
      </c>
      <c r="I96" s="115">
        <v>75728</v>
      </c>
      <c r="J96" s="117">
        <f t="shared" si="4"/>
        <v>13933952</v>
      </c>
      <c r="L96">
        <f t="shared" si="5"/>
        <v>2026</v>
      </c>
      <c r="M96" t="str">
        <f t="shared" si="6"/>
        <v>Durian</v>
      </c>
      <c r="N96">
        <f t="shared" si="7"/>
        <v>184</v>
      </c>
      <c r="O96" s="116">
        <f t="shared" si="8"/>
        <v>75728</v>
      </c>
    </row>
    <row r="97" spans="1:15">
      <c r="A97" s="124">
        <v>95</v>
      </c>
      <c r="B97" s="119">
        <v>45797</v>
      </c>
      <c r="C97" s="110" t="s">
        <v>247</v>
      </c>
      <c r="D97" s="110" t="s">
        <v>256</v>
      </c>
      <c r="E97" s="110" t="s">
        <v>228</v>
      </c>
      <c r="F97" s="110" t="s">
        <v>238</v>
      </c>
      <c r="G97" s="110" t="s">
        <v>41</v>
      </c>
      <c r="H97" s="110">
        <v>977</v>
      </c>
      <c r="I97" s="115">
        <v>87537</v>
      </c>
      <c r="J97" s="117">
        <f t="shared" si="4"/>
        <v>85523649</v>
      </c>
      <c r="L97">
        <f t="shared" si="5"/>
        <v>2025</v>
      </c>
      <c r="M97" t="str">
        <f t="shared" si="6"/>
        <v>Macadamia</v>
      </c>
      <c r="N97">
        <f t="shared" si="7"/>
        <v>977</v>
      </c>
      <c r="O97" s="116">
        <f t="shared" si="8"/>
        <v>87537</v>
      </c>
    </row>
    <row r="98" spans="1:15">
      <c r="A98" s="124">
        <v>96</v>
      </c>
      <c r="B98" s="119">
        <v>45993</v>
      </c>
      <c r="C98" s="110" t="s">
        <v>246</v>
      </c>
      <c r="D98" s="110" t="s">
        <v>255</v>
      </c>
      <c r="E98" s="110" t="s">
        <v>39</v>
      </c>
      <c r="F98" s="110" t="s">
        <v>233</v>
      </c>
      <c r="G98" s="110" t="s">
        <v>41</v>
      </c>
      <c r="H98" s="110">
        <v>1170</v>
      </c>
      <c r="I98" s="115">
        <v>44212</v>
      </c>
      <c r="J98" s="117">
        <f t="shared" si="4"/>
        <v>51728040</v>
      </c>
      <c r="L98">
        <f t="shared" si="5"/>
        <v>2025</v>
      </c>
      <c r="M98" t="str">
        <f t="shared" si="6"/>
        <v>Fresh cherry</v>
      </c>
      <c r="N98">
        <f t="shared" si="7"/>
        <v>1170</v>
      </c>
      <c r="O98" s="116">
        <f t="shared" si="8"/>
        <v>44212</v>
      </c>
    </row>
    <row r="99" spans="1:15">
      <c r="A99" s="124">
        <v>97</v>
      </c>
      <c r="B99" s="119">
        <v>45982</v>
      </c>
      <c r="C99" s="110" t="s">
        <v>245</v>
      </c>
      <c r="D99" s="110" t="s">
        <v>257</v>
      </c>
      <c r="E99" s="110" t="s">
        <v>228</v>
      </c>
      <c r="F99" s="110" t="s">
        <v>238</v>
      </c>
      <c r="G99" s="110" t="s">
        <v>41</v>
      </c>
      <c r="H99" s="110">
        <v>603</v>
      </c>
      <c r="I99" s="115">
        <v>68513</v>
      </c>
      <c r="J99" s="117">
        <f t="shared" si="4"/>
        <v>41313339</v>
      </c>
      <c r="L99">
        <f t="shared" si="5"/>
        <v>2025</v>
      </c>
      <c r="M99" t="str">
        <f t="shared" si="6"/>
        <v>Macadamia</v>
      </c>
      <c r="N99">
        <f t="shared" si="7"/>
        <v>603</v>
      </c>
      <c r="O99" s="116">
        <f t="shared" si="8"/>
        <v>68513</v>
      </c>
    </row>
    <row r="100" spans="1:15">
      <c r="A100" s="124">
        <v>98</v>
      </c>
      <c r="B100" s="119">
        <v>46053</v>
      </c>
      <c r="C100" s="110" t="s">
        <v>246</v>
      </c>
      <c r="D100" s="110" t="s">
        <v>255</v>
      </c>
      <c r="E100" s="110" t="s">
        <v>39</v>
      </c>
      <c r="F100" s="110" t="s">
        <v>234</v>
      </c>
      <c r="G100" s="110" t="s">
        <v>41</v>
      </c>
      <c r="H100" s="110">
        <v>2581</v>
      </c>
      <c r="I100" s="110">
        <v>79492</v>
      </c>
      <c r="J100" s="117">
        <f t="shared" si="4"/>
        <v>205168852</v>
      </c>
      <c r="L100">
        <f t="shared" ref="L100:L112" si="9">YEAR(B100)</f>
        <v>2026</v>
      </c>
      <c r="M100" t="str">
        <f t="shared" ref="M100:M112" si="10">IF(F100="Fresh cherry","Fresh cherry", IF(F100="Green bean","Fresh cherry",IF(F100="Dried cherry","Fresh cherry",F100)))</f>
        <v>Fresh cherry</v>
      </c>
      <c r="N100">
        <f t="shared" ref="N100:N112" si="11">IF(F100="Fresh cherry",H100,IF(F100="Dried cherry",H100*3,IF(F100="Green bean",H100*5,H100)))</f>
        <v>7743</v>
      </c>
      <c r="O100" s="116">
        <f t="shared" si="8"/>
        <v>26497.333333333332</v>
      </c>
    </row>
    <row r="101" spans="1:15">
      <c r="A101" s="124">
        <v>99</v>
      </c>
      <c r="B101" s="119">
        <v>46029</v>
      </c>
      <c r="C101" s="110" t="s">
        <v>245</v>
      </c>
      <c r="D101" s="110" t="s">
        <v>255</v>
      </c>
      <c r="E101" s="110" t="s">
        <v>39</v>
      </c>
      <c r="F101" s="110" t="s">
        <v>234</v>
      </c>
      <c r="G101" s="110" t="s">
        <v>41</v>
      </c>
      <c r="H101" s="110">
        <v>2287</v>
      </c>
      <c r="I101" s="110">
        <v>71038</v>
      </c>
      <c r="J101" s="117">
        <f t="shared" si="4"/>
        <v>162463906</v>
      </c>
      <c r="L101">
        <f t="shared" si="9"/>
        <v>2026</v>
      </c>
      <c r="M101" t="str">
        <f t="shared" si="10"/>
        <v>Fresh cherry</v>
      </c>
      <c r="N101">
        <f t="shared" si="11"/>
        <v>6861</v>
      </c>
      <c r="O101" s="116">
        <f t="shared" si="8"/>
        <v>23679.333333333332</v>
      </c>
    </row>
    <row r="102" spans="1:15">
      <c r="A102" s="124">
        <v>100</v>
      </c>
      <c r="B102" s="119">
        <v>46060</v>
      </c>
      <c r="C102" s="110" t="s">
        <v>243</v>
      </c>
      <c r="D102" s="110" t="s">
        <v>256</v>
      </c>
      <c r="E102" s="110" t="s">
        <v>39</v>
      </c>
      <c r="F102" s="110" t="s">
        <v>234</v>
      </c>
      <c r="G102" s="110" t="s">
        <v>41</v>
      </c>
      <c r="H102" s="110">
        <v>1517</v>
      </c>
      <c r="I102" s="110">
        <v>78680</v>
      </c>
      <c r="J102" s="117">
        <f t="shared" si="4"/>
        <v>119357560</v>
      </c>
      <c r="L102">
        <f t="shared" si="9"/>
        <v>2026</v>
      </c>
      <c r="M102" t="str">
        <f t="shared" si="10"/>
        <v>Fresh cherry</v>
      </c>
      <c r="N102">
        <f t="shared" si="11"/>
        <v>4551</v>
      </c>
      <c r="O102" s="116">
        <f t="shared" si="8"/>
        <v>26226.666666666668</v>
      </c>
    </row>
    <row r="103" spans="1:15">
      <c r="A103" s="124">
        <v>101</v>
      </c>
      <c r="B103" s="119">
        <v>46067</v>
      </c>
      <c r="C103" s="110" t="s">
        <v>242</v>
      </c>
      <c r="D103" s="110" t="s">
        <v>257</v>
      </c>
      <c r="E103" s="110" t="s">
        <v>39</v>
      </c>
      <c r="F103" s="110" t="s">
        <v>234</v>
      </c>
      <c r="G103" s="110" t="s">
        <v>41</v>
      </c>
      <c r="H103" s="110">
        <v>2923</v>
      </c>
      <c r="I103" s="110">
        <v>72808</v>
      </c>
      <c r="J103" s="117">
        <f t="shared" si="4"/>
        <v>212817784</v>
      </c>
      <c r="L103">
        <f t="shared" si="9"/>
        <v>2026</v>
      </c>
      <c r="M103" t="str">
        <f t="shared" si="10"/>
        <v>Fresh cherry</v>
      </c>
      <c r="N103">
        <f t="shared" si="11"/>
        <v>8769</v>
      </c>
      <c r="O103" s="116">
        <f t="shared" si="8"/>
        <v>24269.333333333332</v>
      </c>
    </row>
    <row r="104" spans="1:15">
      <c r="A104" s="124">
        <v>102</v>
      </c>
      <c r="B104" s="119">
        <v>46044</v>
      </c>
      <c r="C104" s="110" t="s">
        <v>242</v>
      </c>
      <c r="D104" s="110" t="s">
        <v>255</v>
      </c>
      <c r="E104" s="110" t="s">
        <v>39</v>
      </c>
      <c r="F104" s="110" t="s">
        <v>234</v>
      </c>
      <c r="G104" s="110" t="s">
        <v>41</v>
      </c>
      <c r="H104" s="110">
        <v>2270</v>
      </c>
      <c r="I104" s="110">
        <v>77605</v>
      </c>
      <c r="J104" s="117">
        <f t="shared" si="4"/>
        <v>176163350</v>
      </c>
      <c r="L104">
        <f t="shared" si="9"/>
        <v>2026</v>
      </c>
      <c r="M104" t="str">
        <f t="shared" si="10"/>
        <v>Fresh cherry</v>
      </c>
      <c r="N104">
        <f t="shared" si="11"/>
        <v>6810</v>
      </c>
      <c r="O104" s="116">
        <f t="shared" si="8"/>
        <v>25868.333333333332</v>
      </c>
    </row>
    <row r="105" spans="1:15">
      <c r="A105" s="124">
        <v>103</v>
      </c>
      <c r="B105" s="119">
        <v>46081</v>
      </c>
      <c r="C105" s="110" t="s">
        <v>241</v>
      </c>
      <c r="D105" s="110" t="s">
        <v>255</v>
      </c>
      <c r="E105" s="110" t="s">
        <v>39</v>
      </c>
      <c r="F105" s="110" t="s">
        <v>234</v>
      </c>
      <c r="G105" s="110" t="s">
        <v>41</v>
      </c>
      <c r="H105" s="110">
        <v>2506</v>
      </c>
      <c r="I105" s="110">
        <v>78244</v>
      </c>
      <c r="J105" s="117">
        <f t="shared" si="4"/>
        <v>196079464</v>
      </c>
      <c r="L105">
        <f t="shared" si="9"/>
        <v>2026</v>
      </c>
      <c r="M105" t="str">
        <f t="shared" si="10"/>
        <v>Fresh cherry</v>
      </c>
      <c r="N105">
        <f t="shared" si="11"/>
        <v>7518</v>
      </c>
      <c r="O105" s="116">
        <f t="shared" si="8"/>
        <v>26081.333333333332</v>
      </c>
    </row>
    <row r="106" spans="1:15">
      <c r="A106" s="124">
        <v>104</v>
      </c>
      <c r="B106" s="119">
        <v>46063</v>
      </c>
      <c r="C106" s="110" t="s">
        <v>245</v>
      </c>
      <c r="D106" s="110" t="s">
        <v>257</v>
      </c>
      <c r="E106" s="110" t="s">
        <v>39</v>
      </c>
      <c r="F106" s="110" t="s">
        <v>234</v>
      </c>
      <c r="G106" s="110" t="s">
        <v>41</v>
      </c>
      <c r="H106" s="110">
        <v>1871</v>
      </c>
      <c r="I106" s="110">
        <v>73608</v>
      </c>
      <c r="J106" s="117">
        <f t="shared" si="4"/>
        <v>137720568</v>
      </c>
      <c r="L106">
        <f t="shared" si="9"/>
        <v>2026</v>
      </c>
      <c r="M106" t="str">
        <f t="shared" si="10"/>
        <v>Fresh cherry</v>
      </c>
      <c r="N106">
        <f t="shared" si="11"/>
        <v>5613</v>
      </c>
      <c r="O106" s="116">
        <f t="shared" si="8"/>
        <v>24536</v>
      </c>
    </row>
    <row r="107" spans="1:15">
      <c r="A107" s="124">
        <v>105</v>
      </c>
      <c r="B107" s="119">
        <v>46026</v>
      </c>
      <c r="C107" s="110" t="s">
        <v>243</v>
      </c>
      <c r="D107" s="110" t="s">
        <v>257</v>
      </c>
      <c r="E107" s="110" t="s">
        <v>39</v>
      </c>
      <c r="F107" s="110" t="s">
        <v>234</v>
      </c>
      <c r="G107" s="110" t="s">
        <v>41</v>
      </c>
      <c r="H107" s="110">
        <v>2705</v>
      </c>
      <c r="I107" s="110">
        <v>79159</v>
      </c>
      <c r="J107" s="117">
        <f t="shared" si="4"/>
        <v>214125095</v>
      </c>
      <c r="L107">
        <f t="shared" si="9"/>
        <v>2026</v>
      </c>
      <c r="M107" t="str">
        <f t="shared" si="10"/>
        <v>Fresh cherry</v>
      </c>
      <c r="N107">
        <f t="shared" si="11"/>
        <v>8115</v>
      </c>
      <c r="O107" s="116">
        <f t="shared" si="8"/>
        <v>26386.333333333332</v>
      </c>
    </row>
    <row r="108" spans="1:15">
      <c r="A108" s="124">
        <v>106</v>
      </c>
      <c r="B108" s="119">
        <v>46052</v>
      </c>
      <c r="C108" s="110" t="s">
        <v>242</v>
      </c>
      <c r="D108" s="110" t="s">
        <v>255</v>
      </c>
      <c r="E108" s="110" t="s">
        <v>39</v>
      </c>
      <c r="F108" s="110" t="s">
        <v>234</v>
      </c>
      <c r="G108" s="110" t="s">
        <v>41</v>
      </c>
      <c r="H108" s="110">
        <v>1630</v>
      </c>
      <c r="I108" s="110">
        <v>76677</v>
      </c>
      <c r="J108" s="117">
        <f t="shared" si="4"/>
        <v>124983510</v>
      </c>
      <c r="L108">
        <f t="shared" si="9"/>
        <v>2026</v>
      </c>
      <c r="M108" t="str">
        <f t="shared" si="10"/>
        <v>Fresh cherry</v>
      </c>
      <c r="N108">
        <f t="shared" si="11"/>
        <v>4890</v>
      </c>
      <c r="O108" s="116">
        <f t="shared" si="8"/>
        <v>25559</v>
      </c>
    </row>
    <row r="109" spans="1:15">
      <c r="A109" s="124">
        <v>107</v>
      </c>
      <c r="B109" s="119">
        <v>46068</v>
      </c>
      <c r="C109" s="110" t="s">
        <v>242</v>
      </c>
      <c r="D109" s="110" t="s">
        <v>256</v>
      </c>
      <c r="E109" s="110" t="s">
        <v>39</v>
      </c>
      <c r="F109" s="110" t="s">
        <v>233</v>
      </c>
      <c r="G109" s="110" t="s">
        <v>41</v>
      </c>
      <c r="H109" s="110">
        <v>2580</v>
      </c>
      <c r="I109" s="110">
        <v>72659</v>
      </c>
      <c r="J109" s="117">
        <f t="shared" si="4"/>
        <v>187460220</v>
      </c>
      <c r="L109">
        <f t="shared" si="9"/>
        <v>2026</v>
      </c>
      <c r="M109" t="str">
        <f t="shared" si="10"/>
        <v>Fresh cherry</v>
      </c>
      <c r="N109">
        <f t="shared" si="11"/>
        <v>2580</v>
      </c>
      <c r="O109" s="116">
        <f t="shared" si="8"/>
        <v>72659</v>
      </c>
    </row>
    <row r="110" spans="1:15">
      <c r="A110" s="124">
        <v>108</v>
      </c>
      <c r="B110" s="119">
        <v>46053</v>
      </c>
      <c r="C110" s="110" t="s">
        <v>241</v>
      </c>
      <c r="D110" s="110" t="s">
        <v>256</v>
      </c>
      <c r="E110" s="110" t="s">
        <v>39</v>
      </c>
      <c r="F110" s="110" t="s">
        <v>233</v>
      </c>
      <c r="G110" s="110" t="s">
        <v>41</v>
      </c>
      <c r="H110" s="110">
        <v>2402</v>
      </c>
      <c r="I110" s="110">
        <v>34000</v>
      </c>
      <c r="J110" s="117">
        <f t="shared" si="4"/>
        <v>81668000</v>
      </c>
      <c r="L110">
        <f t="shared" si="9"/>
        <v>2026</v>
      </c>
      <c r="M110" t="str">
        <f t="shared" si="10"/>
        <v>Fresh cherry</v>
      </c>
      <c r="N110">
        <f t="shared" si="11"/>
        <v>2402</v>
      </c>
      <c r="O110" s="116">
        <f t="shared" si="8"/>
        <v>34000</v>
      </c>
    </row>
    <row r="111" spans="1:15">
      <c r="A111" s="124">
        <v>109</v>
      </c>
      <c r="B111" s="119">
        <v>46056</v>
      </c>
      <c r="C111" s="110" t="s">
        <v>246</v>
      </c>
      <c r="D111" s="110" t="s">
        <v>255</v>
      </c>
      <c r="E111" s="110" t="s">
        <v>39</v>
      </c>
      <c r="F111" s="110" t="s">
        <v>235</v>
      </c>
      <c r="G111" s="110" t="s">
        <v>41</v>
      </c>
      <c r="H111" s="110">
        <v>2530</v>
      </c>
      <c r="I111" s="110">
        <v>98000</v>
      </c>
      <c r="J111" s="117">
        <f t="shared" si="4"/>
        <v>247940000</v>
      </c>
      <c r="L111">
        <f t="shared" si="9"/>
        <v>2026</v>
      </c>
      <c r="M111" t="str">
        <f t="shared" si="10"/>
        <v>Fresh cherry</v>
      </c>
      <c r="N111">
        <f t="shared" si="11"/>
        <v>12650</v>
      </c>
      <c r="O111" s="116">
        <f t="shared" si="8"/>
        <v>19600</v>
      </c>
    </row>
    <row r="112" spans="1:15">
      <c r="A112" s="124">
        <v>110</v>
      </c>
      <c r="B112" s="119">
        <v>46051</v>
      </c>
      <c r="C112" s="110" t="s">
        <v>245</v>
      </c>
      <c r="D112" s="110" t="s">
        <v>257</v>
      </c>
      <c r="E112" s="110" t="s">
        <v>39</v>
      </c>
      <c r="F112" s="110" t="s">
        <v>233</v>
      </c>
      <c r="G112" s="110" t="s">
        <v>41</v>
      </c>
      <c r="H112" s="110">
        <v>1887</v>
      </c>
      <c r="I112" s="110">
        <v>33500</v>
      </c>
      <c r="J112" s="117">
        <f t="shared" si="4"/>
        <v>63214500</v>
      </c>
      <c r="L112">
        <f t="shared" si="9"/>
        <v>2026</v>
      </c>
      <c r="M112" t="str">
        <f t="shared" si="10"/>
        <v>Fresh cherry</v>
      </c>
      <c r="N112">
        <f t="shared" si="11"/>
        <v>1887</v>
      </c>
      <c r="O112" s="116">
        <f t="shared" si="8"/>
        <v>33500</v>
      </c>
    </row>
    <row r="125" spans="4:4">
      <c r="D125">
        <v>24854</v>
      </c>
    </row>
    <row r="126" spans="4:4">
      <c r="D126">
        <v>24886</v>
      </c>
    </row>
  </sheetData>
  <dataValidations count="2">
    <dataValidation type="list" allowBlank="1" showInputMessage="1" showErrorMessage="1" sqref="E2:E112" xr:uid="{C15875F0-43FF-4F6A-AB5E-AA2A2788F57A}">
      <formula1>"Coffee,Intercrop"</formula1>
    </dataValidation>
    <dataValidation type="list" allowBlank="1" showInputMessage="1" showErrorMessage="1" sqref="F2:F112" xr:uid="{80B77BB0-FE38-4F8D-9F46-08760BA8CC09}">
      <formula1>INDIRECT("Revenue_Form_" &amp; SUBSTITUTE(E2,"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F26A-D0C1-4C46-8793-94A41C5CDA8B}">
  <dimension ref="A1:D62"/>
  <sheetViews>
    <sheetView topLeftCell="A54" zoomScale="90" zoomScaleNormal="90" workbookViewId="0">
      <selection activeCell="C64" sqref="C64"/>
    </sheetView>
  </sheetViews>
  <sheetFormatPr defaultRowHeight="14"/>
  <cols>
    <col min="1" max="1" width="22.4140625" bestFit="1" customWidth="1"/>
    <col min="2" max="2" width="22.4140625" customWidth="1"/>
    <col min="3" max="3" width="29.9140625" bestFit="1" customWidth="1"/>
    <col min="4" max="4" width="29.25" bestFit="1" customWidth="1"/>
    <col min="5" max="5" width="28.1640625" bestFit="1" customWidth="1"/>
    <col min="6" max="6" width="29.25" bestFit="1" customWidth="1"/>
    <col min="7" max="7" width="39.1640625" bestFit="1" customWidth="1"/>
    <col min="8" max="8" width="37.4140625" bestFit="1" customWidth="1"/>
  </cols>
  <sheetData>
    <row r="1" spans="1:4">
      <c r="A1" s="102" t="s">
        <v>190</v>
      </c>
      <c r="B1" s="108"/>
      <c r="C1" s="108"/>
      <c r="D1" s="103"/>
    </row>
    <row r="2" spans="1:4">
      <c r="A2" s="104"/>
      <c r="D2" s="105"/>
    </row>
    <row r="3" spans="1:4">
      <c r="A3" s="104" t="s">
        <v>191</v>
      </c>
      <c r="B3" t="s">
        <v>206</v>
      </c>
      <c r="C3" t="s">
        <v>207</v>
      </c>
      <c r="D3" s="105" t="s">
        <v>188</v>
      </c>
    </row>
    <row r="4" spans="1:4">
      <c r="A4" s="104" t="s">
        <v>192</v>
      </c>
      <c r="B4" t="s">
        <v>193</v>
      </c>
      <c r="C4" t="s">
        <v>198</v>
      </c>
      <c r="D4" s="105" t="s">
        <v>10</v>
      </c>
    </row>
    <row r="5" spans="1:4">
      <c r="A5" s="104" t="s">
        <v>205</v>
      </c>
      <c r="B5" t="s">
        <v>194</v>
      </c>
      <c r="C5" t="s">
        <v>200</v>
      </c>
      <c r="D5" s="105" t="s">
        <v>12</v>
      </c>
    </row>
    <row r="6" spans="1:4">
      <c r="A6" s="104"/>
      <c r="B6" t="s">
        <v>21</v>
      </c>
      <c r="C6" t="s">
        <v>201</v>
      </c>
      <c r="D6" s="105" t="s">
        <v>13</v>
      </c>
    </row>
    <row r="7" spans="1:4">
      <c r="A7" s="104"/>
      <c r="B7" t="s">
        <v>195</v>
      </c>
      <c r="C7" t="s">
        <v>202</v>
      </c>
      <c r="D7" s="105" t="s">
        <v>14</v>
      </c>
    </row>
    <row r="8" spans="1:4">
      <c r="A8" s="104"/>
      <c r="B8" t="s">
        <v>196</v>
      </c>
      <c r="C8" t="s">
        <v>203</v>
      </c>
      <c r="D8" s="105" t="s">
        <v>15</v>
      </c>
    </row>
    <row r="9" spans="1:4">
      <c r="A9" s="104"/>
      <c r="B9" t="s">
        <v>197</v>
      </c>
      <c r="C9" t="s">
        <v>204</v>
      </c>
      <c r="D9" s="105" t="s">
        <v>16</v>
      </c>
    </row>
    <row r="10" spans="1:4">
      <c r="A10" s="104"/>
      <c r="D10" s="105" t="s">
        <v>17</v>
      </c>
    </row>
    <row r="11" spans="1:4">
      <c r="A11" s="104"/>
      <c r="D11" s="105" t="s">
        <v>18</v>
      </c>
    </row>
    <row r="12" spans="1:4">
      <c r="A12" s="104"/>
      <c r="D12" s="105" t="s">
        <v>173</v>
      </c>
    </row>
    <row r="13" spans="1:4">
      <c r="A13" s="104"/>
      <c r="D13" s="105" t="s">
        <v>20</v>
      </c>
    </row>
    <row r="14" spans="1:4">
      <c r="A14" s="104"/>
      <c r="D14" s="105" t="s">
        <v>174</v>
      </c>
    </row>
    <row r="15" spans="1:4">
      <c r="A15" s="104"/>
      <c r="D15" s="105" t="s">
        <v>22</v>
      </c>
    </row>
    <row r="16" spans="1:4">
      <c r="A16" s="104"/>
      <c r="D16" s="105" t="s">
        <v>106</v>
      </c>
    </row>
    <row r="17" spans="1:4">
      <c r="A17" s="104"/>
      <c r="D17" s="105" t="s">
        <v>24</v>
      </c>
    </row>
    <row r="18" spans="1:4">
      <c r="A18" s="104"/>
      <c r="D18" s="105" t="s">
        <v>25</v>
      </c>
    </row>
    <row r="19" spans="1:4">
      <c r="A19" s="104"/>
      <c r="D19" s="105" t="s">
        <v>26</v>
      </c>
    </row>
    <row r="20" spans="1:4">
      <c r="A20" s="104"/>
      <c r="D20" s="105" t="s">
        <v>24</v>
      </c>
    </row>
    <row r="21" spans="1:4">
      <c r="A21" s="104"/>
      <c r="D21" s="105" t="s">
        <v>25</v>
      </c>
    </row>
    <row r="22" spans="1:4">
      <c r="A22" s="104"/>
      <c r="D22" s="105" t="s">
        <v>26</v>
      </c>
    </row>
    <row r="23" spans="1:4">
      <c r="A23" s="104"/>
      <c r="D23" s="105" t="s">
        <v>24</v>
      </c>
    </row>
    <row r="24" spans="1:4">
      <c r="A24" s="104"/>
      <c r="D24" s="105" t="s">
        <v>25</v>
      </c>
    </row>
    <row r="25" spans="1:4">
      <c r="A25" s="104"/>
      <c r="D25" s="105" t="s">
        <v>26</v>
      </c>
    </row>
    <row r="26" spans="1:4">
      <c r="A26" s="104"/>
      <c r="D26" s="105" t="s">
        <v>39</v>
      </c>
    </row>
    <row r="27" spans="1:4">
      <c r="A27" s="104"/>
      <c r="D27" s="105" t="s">
        <v>175</v>
      </c>
    </row>
    <row r="28" spans="1:4">
      <c r="A28" s="104"/>
      <c r="D28" s="105" t="s">
        <v>43</v>
      </c>
    </row>
    <row r="29" spans="1:4">
      <c r="A29" s="104"/>
      <c r="D29" s="105" t="s">
        <v>44</v>
      </c>
    </row>
    <row r="30" spans="1:4">
      <c r="A30" s="104"/>
      <c r="D30" s="105" t="s">
        <v>45</v>
      </c>
    </row>
    <row r="31" spans="1:4">
      <c r="A31" s="104"/>
      <c r="D31" s="105" t="s">
        <v>47</v>
      </c>
    </row>
    <row r="32" spans="1:4">
      <c r="A32" s="104"/>
      <c r="D32" s="105" t="s">
        <v>48</v>
      </c>
    </row>
    <row r="33" spans="1:4">
      <c r="A33" s="104"/>
      <c r="D33" s="105" t="s">
        <v>47</v>
      </c>
    </row>
    <row r="34" spans="1:4">
      <c r="A34" s="104"/>
      <c r="D34" s="105" t="s">
        <v>44</v>
      </c>
    </row>
    <row r="35" spans="1:4" ht="14.5" thickBot="1">
      <c r="A35" s="106"/>
      <c r="B35" s="109"/>
      <c r="C35" s="109"/>
      <c r="D35" s="107" t="s">
        <v>48</v>
      </c>
    </row>
    <row r="36" spans="1:4" ht="14.5" thickBot="1"/>
    <row r="37" spans="1:4">
      <c r="A37" s="102" t="s">
        <v>210</v>
      </c>
      <c r="B37" s="108"/>
      <c r="C37" s="103"/>
    </row>
    <row r="38" spans="1:4">
      <c r="A38" s="104" t="s">
        <v>213</v>
      </c>
      <c r="B38" t="s">
        <v>214</v>
      </c>
      <c r="C38" s="105" t="s">
        <v>215</v>
      </c>
    </row>
    <row r="39" spans="1:4">
      <c r="A39" s="104" t="s">
        <v>192</v>
      </c>
      <c r="B39" t="s">
        <v>216</v>
      </c>
      <c r="C39" s="105" t="s">
        <v>216</v>
      </c>
    </row>
    <row r="40" spans="1:4">
      <c r="A40" s="104" t="s">
        <v>208</v>
      </c>
      <c r="B40" t="s">
        <v>217</v>
      </c>
      <c r="C40" s="105" t="s">
        <v>199</v>
      </c>
    </row>
    <row r="41" spans="1:4">
      <c r="A41" s="104"/>
      <c r="B41" t="s">
        <v>197</v>
      </c>
      <c r="C41" s="105" t="s">
        <v>219</v>
      </c>
    </row>
    <row r="42" spans="1:4">
      <c r="A42" s="104"/>
      <c r="B42" t="s">
        <v>199</v>
      </c>
      <c r="C42" s="105"/>
    </row>
    <row r="43" spans="1:4">
      <c r="A43" s="104"/>
      <c r="B43" t="s">
        <v>218</v>
      </c>
      <c r="C43" s="105"/>
    </row>
    <row r="44" spans="1:4" ht="14.5" thickBot="1">
      <c r="A44" s="106"/>
      <c r="B44" s="109" t="s">
        <v>74</v>
      </c>
      <c r="C44" s="107"/>
    </row>
    <row r="45" spans="1:4" ht="14.5" thickBot="1"/>
    <row r="46" spans="1:4">
      <c r="A46" s="102" t="s">
        <v>223</v>
      </c>
      <c r="B46" s="108"/>
      <c r="C46" s="103"/>
    </row>
    <row r="47" spans="1:4">
      <c r="A47" s="104" t="s">
        <v>213</v>
      </c>
      <c r="B47" t="s">
        <v>214</v>
      </c>
      <c r="C47" s="105" t="s">
        <v>215</v>
      </c>
    </row>
    <row r="48" spans="1:4">
      <c r="A48" s="104" t="s">
        <v>192</v>
      </c>
      <c r="B48" t="s">
        <v>217</v>
      </c>
      <c r="C48" s="105" t="s">
        <v>199</v>
      </c>
    </row>
    <row r="49" spans="1:3">
      <c r="A49" s="104" t="s">
        <v>208</v>
      </c>
      <c r="B49" t="s">
        <v>199</v>
      </c>
      <c r="C49" s="105" t="s">
        <v>219</v>
      </c>
    </row>
    <row r="50" spans="1:3">
      <c r="A50" s="104"/>
      <c r="B50" t="s">
        <v>218</v>
      </c>
      <c r="C50" s="105"/>
    </row>
    <row r="51" spans="1:3" ht="14.5" thickBot="1">
      <c r="A51" s="106"/>
      <c r="B51" s="109" t="s">
        <v>74</v>
      </c>
      <c r="C51" s="107"/>
    </row>
    <row r="52" spans="1:3" ht="14.5" thickBot="1"/>
    <row r="53" spans="1:3">
      <c r="A53" s="102" t="s">
        <v>230</v>
      </c>
      <c r="B53" s="108"/>
      <c r="C53" s="103"/>
    </row>
    <row r="54" spans="1:3">
      <c r="A54" s="104" t="s">
        <v>231</v>
      </c>
      <c r="B54" t="s">
        <v>232</v>
      </c>
      <c r="C54" s="105" t="s">
        <v>236</v>
      </c>
    </row>
    <row r="55" spans="1:3">
      <c r="A55" s="104" t="s">
        <v>39</v>
      </c>
      <c r="B55" t="s">
        <v>233</v>
      </c>
      <c r="C55" s="105" t="s">
        <v>237</v>
      </c>
    </row>
    <row r="56" spans="1:3">
      <c r="A56" s="104" t="s">
        <v>228</v>
      </c>
      <c r="B56" t="s">
        <v>234</v>
      </c>
      <c r="C56" s="105" t="s">
        <v>238</v>
      </c>
    </row>
    <row r="57" spans="1:3" ht="14.5" thickBot="1">
      <c r="A57" s="106"/>
      <c r="B57" s="109" t="s">
        <v>235</v>
      </c>
      <c r="C57" s="107"/>
    </row>
    <row r="58" spans="1:3" ht="14.5" thickBot="1"/>
    <row r="59" spans="1:3">
      <c r="A59" s="143" t="s">
        <v>274</v>
      </c>
    </row>
    <row r="60" spans="1:3">
      <c r="A60" s="144" t="s">
        <v>237</v>
      </c>
    </row>
    <row r="61" spans="1:3">
      <c r="A61" s="144" t="s">
        <v>238</v>
      </c>
    </row>
    <row r="62" spans="1:3" ht="14.5" thickBot="1">
      <c r="A62" s="145" t="s">
        <v>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AF06-08EE-463A-97E6-01EBB7A1B4CD}">
  <dimension ref="A1:L120"/>
  <sheetViews>
    <sheetView zoomScale="70" zoomScaleNormal="70" workbookViewId="0">
      <selection activeCell="D110" sqref="D110:G110"/>
    </sheetView>
  </sheetViews>
  <sheetFormatPr defaultColWidth="9" defaultRowHeight="13.5"/>
  <cols>
    <col min="1" max="1" width="10.33203125" style="1" bestFit="1" customWidth="1"/>
    <col min="2" max="2" width="30.1640625" style="1" bestFit="1" customWidth="1"/>
    <col min="3" max="3" width="8.33203125" style="1" customWidth="1"/>
    <col min="4" max="4" width="9" style="1"/>
    <col min="5" max="5" width="9.1640625" style="1" customWidth="1"/>
    <col min="6" max="6" width="10.6640625" style="1" bestFit="1" customWidth="1"/>
    <col min="7" max="7" width="10" style="1" customWidth="1"/>
    <col min="8" max="8" width="44.08203125" style="1" bestFit="1" customWidth="1"/>
    <col min="9" max="9" width="5.83203125" style="101" customWidth="1"/>
    <col min="10" max="10" width="32.58203125" style="46" bestFit="1" customWidth="1"/>
    <col min="11" max="11" width="76" style="46" bestFit="1" customWidth="1"/>
    <col min="12" max="16384" width="9" style="1"/>
  </cols>
  <sheetData>
    <row r="1" spans="1:11">
      <c r="K1" s="47" t="s">
        <v>57</v>
      </c>
    </row>
    <row r="2" spans="1:11">
      <c r="I2" s="101" t="s">
        <v>164</v>
      </c>
    </row>
    <row r="3" spans="1:11" ht="19.5">
      <c r="A3" s="126" t="s">
        <v>58</v>
      </c>
      <c r="B3" s="126"/>
      <c r="C3" s="126"/>
      <c r="D3" s="126"/>
      <c r="E3" s="126"/>
      <c r="F3" s="126"/>
      <c r="G3" s="126"/>
    </row>
    <row r="4" spans="1:11">
      <c r="K4" s="46" t="s">
        <v>59</v>
      </c>
    </row>
    <row r="5" spans="1:11" ht="15">
      <c r="A5" s="130" t="s">
        <v>142</v>
      </c>
      <c r="B5" s="131"/>
      <c r="C5" s="131"/>
      <c r="D5" s="131"/>
      <c r="E5" s="131"/>
      <c r="F5" s="131"/>
      <c r="G5" s="132"/>
    </row>
    <row r="6" spans="1:11">
      <c r="A6" s="137" t="s">
        <v>143</v>
      </c>
      <c r="B6" s="138"/>
      <c r="C6" s="141" t="s">
        <v>150</v>
      </c>
      <c r="D6" s="141"/>
      <c r="E6" s="141"/>
      <c r="F6" s="141"/>
      <c r="G6" s="141"/>
    </row>
    <row r="7" spans="1:11">
      <c r="A7" s="139"/>
      <c r="B7" s="140"/>
      <c r="C7" s="81" t="s">
        <v>151</v>
      </c>
      <c r="D7" s="81" t="s">
        <v>152</v>
      </c>
      <c r="E7" s="81" t="s">
        <v>153</v>
      </c>
      <c r="F7" s="81" t="s">
        <v>154</v>
      </c>
      <c r="G7" s="81" t="s">
        <v>155</v>
      </c>
    </row>
    <row r="8" spans="1:11">
      <c r="A8" s="135" t="s">
        <v>39</v>
      </c>
      <c r="B8" s="136"/>
      <c r="C8" s="79"/>
      <c r="D8" s="79"/>
      <c r="E8" s="79"/>
      <c r="F8" s="79"/>
      <c r="G8" s="79"/>
    </row>
    <row r="9" spans="1:11">
      <c r="A9" s="63" t="s">
        <v>144</v>
      </c>
      <c r="B9" s="80" t="s">
        <v>145</v>
      </c>
      <c r="C9" s="79"/>
      <c r="D9" s="79"/>
      <c r="E9" s="79"/>
      <c r="F9" s="79"/>
      <c r="G9" s="79"/>
    </row>
    <row r="10" spans="1:11">
      <c r="A10" s="63" t="s">
        <v>146</v>
      </c>
      <c r="B10" s="80" t="s">
        <v>145</v>
      </c>
      <c r="C10" s="79"/>
      <c r="D10" s="79"/>
      <c r="E10" s="79"/>
      <c r="F10" s="79"/>
      <c r="G10" s="79"/>
    </row>
    <row r="11" spans="1:11">
      <c r="A11" s="63" t="s">
        <v>147</v>
      </c>
      <c r="B11" s="80" t="s">
        <v>145</v>
      </c>
      <c r="C11" s="79"/>
      <c r="D11" s="79"/>
      <c r="E11" s="79"/>
      <c r="F11" s="79"/>
      <c r="G11" s="79"/>
    </row>
    <row r="12" spans="1:11">
      <c r="A12" s="63" t="s">
        <v>148</v>
      </c>
      <c r="B12" s="80" t="s">
        <v>145</v>
      </c>
      <c r="C12" s="79"/>
      <c r="D12" s="79"/>
      <c r="E12" s="79"/>
      <c r="F12" s="79"/>
      <c r="G12" s="79"/>
    </row>
    <row r="13" spans="1:11">
      <c r="A13" s="63" t="s">
        <v>149</v>
      </c>
      <c r="B13" s="80" t="s">
        <v>145</v>
      </c>
      <c r="C13" s="79"/>
      <c r="D13" s="79"/>
      <c r="E13" s="79"/>
      <c r="F13" s="79"/>
      <c r="G13" s="79"/>
    </row>
    <row r="15" spans="1:11" ht="14" thickBot="1">
      <c r="A15" s="129" t="s">
        <v>60</v>
      </c>
      <c r="B15" s="129"/>
      <c r="C15" s="129"/>
      <c r="D15" s="4"/>
      <c r="E15" s="4"/>
      <c r="F15" s="4"/>
      <c r="G15" s="4"/>
      <c r="K15" s="46" t="s">
        <v>61</v>
      </c>
    </row>
    <row r="16" spans="1:11" ht="37" customHeight="1">
      <c r="A16" s="5" t="s">
        <v>50</v>
      </c>
      <c r="B16" s="5" t="s">
        <v>62</v>
      </c>
      <c r="C16" s="5" t="s">
        <v>33</v>
      </c>
      <c r="D16" s="5" t="s">
        <v>34</v>
      </c>
      <c r="E16" s="5" t="s">
        <v>63</v>
      </c>
      <c r="F16" s="5" t="s">
        <v>36</v>
      </c>
      <c r="G16" s="5" t="s">
        <v>37</v>
      </c>
      <c r="K16" s="46" t="s">
        <v>64</v>
      </c>
    </row>
    <row r="17" spans="1:11" ht="18" customHeight="1">
      <c r="A17" s="8"/>
      <c r="B17" s="7" t="s">
        <v>65</v>
      </c>
      <c r="C17" s="8"/>
      <c r="D17" s="8"/>
      <c r="E17" s="8"/>
      <c r="F17" s="9">
        <f>SUM(F18:F22)</f>
        <v>0</v>
      </c>
      <c r="G17" s="8"/>
      <c r="K17" s="46" t="s">
        <v>66</v>
      </c>
    </row>
    <row r="18" spans="1:11" ht="16" customHeight="1">
      <c r="A18" s="10"/>
      <c r="B18" s="10" t="s">
        <v>67</v>
      </c>
      <c r="C18" s="10" t="s">
        <v>11</v>
      </c>
      <c r="D18" s="12"/>
      <c r="E18" s="11"/>
      <c r="F18" s="11">
        <f>D18*E18</f>
        <v>0</v>
      </c>
      <c r="G18" s="12"/>
      <c r="K18" s="46" t="s">
        <v>68</v>
      </c>
    </row>
    <row r="19" spans="1:11" ht="16" customHeight="1">
      <c r="A19" s="10"/>
      <c r="B19" s="10" t="s">
        <v>69</v>
      </c>
      <c r="C19" s="10" t="s">
        <v>11</v>
      </c>
      <c r="D19" s="12"/>
      <c r="E19" s="11"/>
      <c r="F19" s="11">
        <f t="shared" ref="F19:F41" si="0">D19*E19</f>
        <v>0</v>
      </c>
      <c r="G19" s="12"/>
      <c r="K19" s="46" t="s">
        <v>70</v>
      </c>
    </row>
    <row r="20" spans="1:11" ht="16" customHeight="1">
      <c r="A20" s="10"/>
      <c r="B20" s="10" t="s">
        <v>71</v>
      </c>
      <c r="C20" s="10" t="s">
        <v>11</v>
      </c>
      <c r="D20" s="12"/>
      <c r="E20" s="11"/>
      <c r="F20" s="11">
        <f t="shared" si="0"/>
        <v>0</v>
      </c>
      <c r="G20" s="12"/>
      <c r="K20" s="46" t="s">
        <v>72</v>
      </c>
    </row>
    <row r="21" spans="1:11" ht="16" customHeight="1">
      <c r="A21" s="10"/>
      <c r="B21" s="10" t="s">
        <v>73</v>
      </c>
      <c r="C21" s="10" t="s">
        <v>11</v>
      </c>
      <c r="D21" s="12"/>
      <c r="E21" s="11"/>
      <c r="F21" s="11">
        <f t="shared" si="0"/>
        <v>0</v>
      </c>
      <c r="G21" s="12"/>
      <c r="K21" s="46" t="s">
        <v>74</v>
      </c>
    </row>
    <row r="22" spans="1:11" ht="16" customHeight="1">
      <c r="A22" s="10"/>
      <c r="B22" s="10"/>
      <c r="C22" s="10"/>
      <c r="D22" s="12"/>
      <c r="E22" s="11"/>
      <c r="F22" s="11">
        <f t="shared" si="0"/>
        <v>0</v>
      </c>
      <c r="G22" s="12"/>
    </row>
    <row r="23" spans="1:11" ht="18" customHeight="1">
      <c r="A23" s="8"/>
      <c r="B23" s="7" t="s">
        <v>75</v>
      </c>
      <c r="C23" s="8"/>
      <c r="D23" s="8"/>
      <c r="E23" s="13"/>
      <c r="F23" s="13">
        <f>SUM(F24:F27)</f>
        <v>0</v>
      </c>
      <c r="G23" s="8"/>
      <c r="K23" s="48" t="s">
        <v>76</v>
      </c>
    </row>
    <row r="24" spans="1:11" ht="16" customHeight="1">
      <c r="A24" s="10"/>
      <c r="B24" s="10" t="s">
        <v>67</v>
      </c>
      <c r="C24" s="10" t="s">
        <v>11</v>
      </c>
      <c r="D24" s="12"/>
      <c r="E24" s="11"/>
      <c r="F24" s="11">
        <f t="shared" si="0"/>
        <v>0</v>
      </c>
      <c r="G24" s="12"/>
      <c r="K24" s="49" t="s">
        <v>77</v>
      </c>
    </row>
    <row r="25" spans="1:11" ht="16" customHeight="1">
      <c r="A25" s="10"/>
      <c r="B25" s="10" t="s">
        <v>69</v>
      </c>
      <c r="C25" s="10" t="s">
        <v>11</v>
      </c>
      <c r="D25" s="15"/>
      <c r="E25" s="11"/>
      <c r="F25" s="11">
        <f t="shared" si="0"/>
        <v>0</v>
      </c>
      <c r="G25" s="15"/>
      <c r="K25" s="48" t="s">
        <v>11</v>
      </c>
    </row>
    <row r="26" spans="1:11" ht="16" customHeight="1">
      <c r="A26" s="10"/>
      <c r="B26" s="10" t="s">
        <v>71</v>
      </c>
      <c r="C26" s="10" t="s">
        <v>11</v>
      </c>
      <c r="D26" s="15"/>
      <c r="E26" s="14"/>
      <c r="F26" s="11">
        <f t="shared" si="0"/>
        <v>0</v>
      </c>
      <c r="G26" s="15"/>
      <c r="K26" s="48" t="s">
        <v>78</v>
      </c>
    </row>
    <row r="27" spans="1:11" ht="16" customHeight="1">
      <c r="A27" s="10"/>
      <c r="B27" s="10" t="s">
        <v>73</v>
      </c>
      <c r="C27" s="10" t="s">
        <v>11</v>
      </c>
      <c r="D27" s="15"/>
      <c r="E27" s="14"/>
      <c r="F27" s="11">
        <f t="shared" si="0"/>
        <v>0</v>
      </c>
      <c r="G27" s="15"/>
      <c r="K27" s="48" t="s">
        <v>79</v>
      </c>
    </row>
    <row r="28" spans="1:11" ht="18" customHeight="1">
      <c r="A28" s="8"/>
      <c r="B28" s="7" t="s">
        <v>28</v>
      </c>
      <c r="C28" s="8"/>
      <c r="D28" s="8"/>
      <c r="E28" s="13"/>
      <c r="F28" s="13">
        <f>SUM(F29:F32)</f>
        <v>0</v>
      </c>
      <c r="G28" s="8"/>
      <c r="K28" s="49" t="s">
        <v>32</v>
      </c>
    </row>
    <row r="29" spans="1:11" ht="16" customHeight="1">
      <c r="A29" s="10"/>
      <c r="B29" s="10" t="s">
        <v>67</v>
      </c>
      <c r="C29" s="10" t="s">
        <v>11</v>
      </c>
      <c r="D29" s="12"/>
      <c r="E29" s="11"/>
      <c r="F29" s="11">
        <f t="shared" si="0"/>
        <v>0</v>
      </c>
      <c r="G29" s="12"/>
      <c r="K29" s="48" t="s">
        <v>80</v>
      </c>
    </row>
    <row r="30" spans="1:11" ht="16" customHeight="1">
      <c r="A30" s="10"/>
      <c r="B30" s="10" t="s">
        <v>69</v>
      </c>
      <c r="C30" s="10" t="s">
        <v>11</v>
      </c>
      <c r="D30" s="12"/>
      <c r="E30" s="11"/>
      <c r="F30" s="11">
        <f t="shared" si="0"/>
        <v>0</v>
      </c>
      <c r="G30" s="12"/>
    </row>
    <row r="31" spans="1:11" ht="16" customHeight="1">
      <c r="A31" s="10"/>
      <c r="B31" s="10" t="s">
        <v>71</v>
      </c>
      <c r="C31" s="10" t="s">
        <v>11</v>
      </c>
      <c r="D31" s="12"/>
      <c r="E31" s="11"/>
      <c r="F31" s="11">
        <f t="shared" si="0"/>
        <v>0</v>
      </c>
      <c r="G31" s="12"/>
      <c r="K31" s="46" t="s">
        <v>81</v>
      </c>
    </row>
    <row r="32" spans="1:11" ht="16" customHeight="1">
      <c r="A32" s="10"/>
      <c r="B32" s="10" t="s">
        <v>73</v>
      </c>
      <c r="C32" s="10" t="s">
        <v>11</v>
      </c>
      <c r="D32" s="12"/>
      <c r="E32" s="11"/>
      <c r="F32" s="11">
        <f t="shared" si="0"/>
        <v>0</v>
      </c>
      <c r="G32" s="12"/>
      <c r="K32" s="50" t="s">
        <v>82</v>
      </c>
    </row>
    <row r="33" spans="1:12" ht="18" customHeight="1">
      <c r="A33" s="8"/>
      <c r="B33" s="7" t="s">
        <v>83</v>
      </c>
      <c r="C33" s="8"/>
      <c r="D33" s="8"/>
      <c r="E33" s="13"/>
      <c r="F33" s="13">
        <f>SUM(F34:F37)</f>
        <v>0</v>
      </c>
      <c r="G33" s="8"/>
      <c r="K33" s="51" t="s">
        <v>84</v>
      </c>
      <c r="L33" s="52"/>
    </row>
    <row r="34" spans="1:12" ht="16" customHeight="1">
      <c r="A34" s="10"/>
      <c r="B34" s="10" t="s">
        <v>67</v>
      </c>
      <c r="C34" s="10" t="s">
        <v>11</v>
      </c>
      <c r="D34" s="12"/>
      <c r="E34" s="11"/>
      <c r="F34" s="11">
        <f t="shared" si="0"/>
        <v>0</v>
      </c>
      <c r="G34" s="12"/>
      <c r="K34" s="51" t="s">
        <v>85</v>
      </c>
    </row>
    <row r="35" spans="1:12" ht="16" customHeight="1">
      <c r="A35" s="10"/>
      <c r="B35" s="10" t="s">
        <v>69</v>
      </c>
      <c r="C35" s="10" t="s">
        <v>11</v>
      </c>
      <c r="D35" s="12"/>
      <c r="E35" s="11"/>
      <c r="F35" s="11">
        <f t="shared" si="0"/>
        <v>0</v>
      </c>
      <c r="G35" s="12"/>
      <c r="K35" s="51" t="s">
        <v>86</v>
      </c>
    </row>
    <row r="36" spans="1:12" ht="16" customHeight="1">
      <c r="A36" s="10"/>
      <c r="B36" s="10" t="s">
        <v>71</v>
      </c>
      <c r="C36" s="10" t="s">
        <v>11</v>
      </c>
      <c r="D36" s="12"/>
      <c r="E36" s="11"/>
      <c r="F36" s="11">
        <f t="shared" si="0"/>
        <v>0</v>
      </c>
      <c r="G36" s="12"/>
      <c r="K36" s="51" t="s">
        <v>87</v>
      </c>
    </row>
    <row r="37" spans="1:12" ht="16" customHeight="1">
      <c r="A37" s="10"/>
      <c r="B37" s="10" t="s">
        <v>73</v>
      </c>
      <c r="C37" s="10" t="s">
        <v>11</v>
      </c>
      <c r="D37" s="12"/>
      <c r="E37" s="11"/>
      <c r="F37" s="11">
        <f t="shared" si="0"/>
        <v>0</v>
      </c>
      <c r="G37" s="12"/>
      <c r="K37" s="46" t="s">
        <v>88</v>
      </c>
    </row>
    <row r="38" spans="1:12" ht="18" customHeight="1">
      <c r="A38" s="8"/>
      <c r="B38" s="7" t="s">
        <v>89</v>
      </c>
      <c r="C38" s="8"/>
      <c r="D38" s="8"/>
      <c r="E38" s="13"/>
      <c r="F38" s="13">
        <f>SUM(F39:F41)</f>
        <v>0</v>
      </c>
      <c r="G38" s="8"/>
      <c r="K38" s="46" t="s">
        <v>90</v>
      </c>
    </row>
    <row r="39" spans="1:12" ht="16" customHeight="1">
      <c r="A39" s="10"/>
      <c r="B39" s="10" t="s">
        <v>67</v>
      </c>
      <c r="C39" s="10" t="s">
        <v>11</v>
      </c>
      <c r="D39" s="15"/>
      <c r="E39" s="14"/>
      <c r="F39" s="11">
        <f t="shared" si="0"/>
        <v>0</v>
      </c>
      <c r="G39" s="15"/>
    </row>
    <row r="40" spans="1:12" ht="16" customHeight="1">
      <c r="A40" s="10"/>
      <c r="B40" s="10" t="s">
        <v>69</v>
      </c>
      <c r="C40" s="10" t="s">
        <v>11</v>
      </c>
      <c r="D40" s="12"/>
      <c r="E40" s="14"/>
      <c r="F40" s="11">
        <f t="shared" si="0"/>
        <v>0</v>
      </c>
      <c r="G40" s="12"/>
    </row>
    <row r="41" spans="1:12" ht="16" customHeight="1">
      <c r="A41" s="10"/>
      <c r="B41" s="10" t="s">
        <v>71</v>
      </c>
      <c r="C41" s="10" t="s">
        <v>11</v>
      </c>
      <c r="D41" s="12"/>
      <c r="E41" s="11"/>
      <c r="F41" s="11">
        <f t="shared" si="0"/>
        <v>0</v>
      </c>
      <c r="G41" s="12"/>
      <c r="K41" s="46" t="s">
        <v>91</v>
      </c>
    </row>
    <row r="42" spans="1:12" ht="18" customHeight="1">
      <c r="A42" s="8"/>
      <c r="B42" s="7" t="s">
        <v>92</v>
      </c>
      <c r="C42" s="8"/>
      <c r="D42" s="8"/>
      <c r="E42" s="13"/>
      <c r="F42" s="13">
        <f>SUM(F43:F46)</f>
        <v>0</v>
      </c>
      <c r="G42" s="8"/>
      <c r="K42" s="48" t="s">
        <v>93</v>
      </c>
    </row>
    <row r="43" spans="1:12" ht="16" customHeight="1">
      <c r="A43" s="10"/>
      <c r="B43" s="10" t="s">
        <v>67</v>
      </c>
      <c r="C43" s="10" t="s">
        <v>11</v>
      </c>
      <c r="D43" s="12"/>
      <c r="E43" s="11"/>
      <c r="F43" s="11">
        <f>D43*E43</f>
        <v>0</v>
      </c>
      <c r="G43" s="12"/>
    </row>
    <row r="44" spans="1:12" ht="16" customHeight="1">
      <c r="A44" s="10"/>
      <c r="B44" s="10" t="s">
        <v>69</v>
      </c>
      <c r="C44" s="10" t="s">
        <v>11</v>
      </c>
      <c r="D44" s="12"/>
      <c r="E44" s="11"/>
      <c r="F44" s="11">
        <f t="shared" ref="F44:F46" si="1">D44*E44</f>
        <v>0</v>
      </c>
      <c r="G44" s="12"/>
    </row>
    <row r="45" spans="1:12" ht="16" customHeight="1">
      <c r="A45" s="10"/>
      <c r="B45" s="10" t="s">
        <v>71</v>
      </c>
      <c r="C45" s="10" t="s">
        <v>11</v>
      </c>
      <c r="D45" s="12"/>
      <c r="E45" s="11"/>
      <c r="F45" s="11">
        <f t="shared" si="1"/>
        <v>0</v>
      </c>
      <c r="G45" s="12"/>
    </row>
    <row r="46" spans="1:12" ht="16" customHeight="1">
      <c r="A46" s="10"/>
      <c r="B46" s="10" t="s">
        <v>73</v>
      </c>
      <c r="C46" s="10" t="s">
        <v>11</v>
      </c>
      <c r="D46" s="12"/>
      <c r="E46" s="11"/>
      <c r="F46" s="11">
        <f t="shared" si="1"/>
        <v>0</v>
      </c>
      <c r="G46" s="12"/>
    </row>
    <row r="47" spans="1:12" ht="18" customHeight="1" thickBot="1">
      <c r="A47" s="17"/>
      <c r="B47" s="18" t="s">
        <v>29</v>
      </c>
      <c r="C47" s="17"/>
      <c r="D47" s="17"/>
      <c r="E47" s="19"/>
      <c r="F47" s="20">
        <f>F17+F23+F28+F33+F38+F42</f>
        <v>0</v>
      </c>
      <c r="G47" s="17"/>
    </row>
    <row r="48" spans="1:12" ht="22.5" customHeight="1" thickBot="1">
      <c r="A48" s="129" t="s">
        <v>94</v>
      </c>
      <c r="B48" s="129"/>
      <c r="C48" s="129"/>
      <c r="E48" s="53"/>
      <c r="F48" s="54"/>
    </row>
    <row r="49" spans="1:10" ht="18" customHeight="1">
      <c r="A49" s="23" t="s">
        <v>50</v>
      </c>
      <c r="B49" s="71" t="s">
        <v>95</v>
      </c>
      <c r="C49" s="76" t="s">
        <v>123</v>
      </c>
      <c r="D49" s="70" t="s">
        <v>33</v>
      </c>
      <c r="E49" s="23" t="s">
        <v>34</v>
      </c>
      <c r="F49" s="55" t="s">
        <v>35</v>
      </c>
      <c r="G49" s="55" t="s">
        <v>36</v>
      </c>
      <c r="H49" s="23" t="s">
        <v>37</v>
      </c>
    </row>
    <row r="50" spans="1:10" ht="17.149999999999999" customHeight="1">
      <c r="A50" s="30"/>
      <c r="B50" s="72" t="s">
        <v>65</v>
      </c>
      <c r="C50" s="66"/>
      <c r="D50" s="74"/>
      <c r="E50" s="30"/>
      <c r="F50" s="32"/>
      <c r="G50" s="32">
        <f>SUM(G51:G55)</f>
        <v>0</v>
      </c>
      <c r="H50" s="30"/>
      <c r="J50" s="51"/>
    </row>
    <row r="51" spans="1:10" ht="16" customHeight="1">
      <c r="A51" s="10"/>
      <c r="B51" s="73" t="s">
        <v>176</v>
      </c>
      <c r="C51" s="63"/>
      <c r="D51" s="75" t="s">
        <v>181</v>
      </c>
      <c r="E51" s="12"/>
      <c r="F51" s="11"/>
      <c r="G51" s="11">
        <f>E51*F51</f>
        <v>0</v>
      </c>
      <c r="H51" s="12"/>
      <c r="I51" s="101" t="s">
        <v>169</v>
      </c>
      <c r="J51" s="51"/>
    </row>
    <row r="52" spans="1:10" ht="16" customHeight="1">
      <c r="A52" s="10"/>
      <c r="B52" s="73" t="s">
        <v>177</v>
      </c>
      <c r="C52" s="63"/>
      <c r="D52" s="75" t="s">
        <v>181</v>
      </c>
      <c r="E52" s="12"/>
      <c r="F52" s="11"/>
      <c r="G52" s="11">
        <f>E52*F52</f>
        <v>0</v>
      </c>
      <c r="H52" s="12"/>
      <c r="J52" s="51"/>
    </row>
    <row r="53" spans="1:10" ht="16" customHeight="1">
      <c r="A53" s="10"/>
      <c r="B53" s="73" t="s">
        <v>178</v>
      </c>
      <c r="C53" s="63"/>
      <c r="D53" s="75" t="s">
        <v>181</v>
      </c>
      <c r="E53" s="12"/>
      <c r="F53" s="11"/>
      <c r="G53" s="11">
        <f>E53*F53</f>
        <v>0</v>
      </c>
      <c r="H53" s="12"/>
      <c r="J53" s="51"/>
    </row>
    <row r="54" spans="1:10" ht="16" customHeight="1">
      <c r="A54" s="10"/>
      <c r="B54" s="73" t="s">
        <v>179</v>
      </c>
      <c r="C54" s="63"/>
      <c r="D54" s="75" t="s">
        <v>181</v>
      </c>
      <c r="E54" s="12"/>
      <c r="F54" s="11"/>
      <c r="G54" s="11">
        <f>E54*F54</f>
        <v>0</v>
      </c>
      <c r="H54" s="12"/>
      <c r="J54" s="51"/>
    </row>
    <row r="55" spans="1:10" ht="16" customHeight="1">
      <c r="A55" s="10"/>
      <c r="B55" s="73" t="s">
        <v>180</v>
      </c>
      <c r="C55" s="63"/>
      <c r="D55" s="75" t="s">
        <v>181</v>
      </c>
      <c r="E55" s="12"/>
      <c r="F55" s="11"/>
      <c r="G55" s="11">
        <f>E55*F55</f>
        <v>0</v>
      </c>
      <c r="H55" s="12"/>
      <c r="J55" s="51"/>
    </row>
    <row r="56" spans="1:10" ht="17.149999999999999" customHeight="1">
      <c r="A56" s="30"/>
      <c r="B56" s="31" t="s">
        <v>83</v>
      </c>
      <c r="C56" s="64"/>
      <c r="D56" s="30"/>
      <c r="E56" s="30"/>
      <c r="F56" s="32"/>
      <c r="G56" s="32">
        <f>SUM(G57:G76)</f>
        <v>0</v>
      </c>
      <c r="H56" s="30"/>
    </row>
    <row r="57" spans="1:10" ht="16" customHeight="1">
      <c r="A57" s="10"/>
      <c r="B57" s="10" t="s">
        <v>107</v>
      </c>
      <c r="C57" s="78" t="s">
        <v>124</v>
      </c>
      <c r="D57" s="10" t="s">
        <v>41</v>
      </c>
      <c r="E57" s="12"/>
      <c r="F57" s="11"/>
      <c r="G57" s="11">
        <f>E57*F57</f>
        <v>0</v>
      </c>
      <c r="H57" s="77" t="s">
        <v>141</v>
      </c>
    </row>
    <row r="58" spans="1:10" ht="16" customHeight="1">
      <c r="A58" s="10"/>
      <c r="B58" s="10" t="s">
        <v>108</v>
      </c>
      <c r="C58" s="78" t="s">
        <v>47</v>
      </c>
      <c r="D58" s="10" t="s">
        <v>41</v>
      </c>
      <c r="E58" s="12"/>
      <c r="F58" s="11"/>
      <c r="G58" s="11">
        <f t="shared" ref="G58:G76" si="2">E58*F58</f>
        <v>0</v>
      </c>
      <c r="H58" s="77" t="s">
        <v>141</v>
      </c>
    </row>
    <row r="59" spans="1:10" ht="16" customHeight="1">
      <c r="A59" s="10"/>
      <c r="B59" s="10" t="s">
        <v>109</v>
      </c>
      <c r="C59" s="10"/>
      <c r="D59" s="10" t="s">
        <v>41</v>
      </c>
      <c r="E59" s="12"/>
      <c r="F59" s="11"/>
      <c r="G59" s="11">
        <f t="shared" si="2"/>
        <v>0</v>
      </c>
      <c r="H59" s="77" t="s">
        <v>141</v>
      </c>
    </row>
    <row r="60" spans="1:10" ht="16" customHeight="1">
      <c r="A60" s="10"/>
      <c r="B60" s="10" t="s">
        <v>110</v>
      </c>
      <c r="C60" s="10"/>
      <c r="D60" s="10" t="s">
        <v>41</v>
      </c>
      <c r="E60" s="12"/>
      <c r="F60" s="11"/>
      <c r="G60" s="11">
        <f t="shared" si="2"/>
        <v>0</v>
      </c>
      <c r="H60" s="77" t="s">
        <v>141</v>
      </c>
    </row>
    <row r="61" spans="1:10" ht="16" customHeight="1">
      <c r="A61" s="10"/>
      <c r="B61" s="10" t="s">
        <v>131</v>
      </c>
      <c r="C61" s="10"/>
      <c r="D61" s="10" t="s">
        <v>41</v>
      </c>
      <c r="E61" s="12"/>
      <c r="F61" s="11"/>
      <c r="G61" s="11">
        <f t="shared" si="2"/>
        <v>0</v>
      </c>
      <c r="H61" s="77" t="s">
        <v>141</v>
      </c>
    </row>
    <row r="62" spans="1:10" ht="16" customHeight="1">
      <c r="A62" s="10"/>
      <c r="B62" s="10" t="s">
        <v>111</v>
      </c>
      <c r="C62" s="10"/>
      <c r="D62" s="10" t="s">
        <v>41</v>
      </c>
      <c r="E62" s="12"/>
      <c r="F62" s="11"/>
      <c r="G62" s="11">
        <f t="shared" si="2"/>
        <v>0</v>
      </c>
      <c r="H62" s="77" t="s">
        <v>141</v>
      </c>
    </row>
    <row r="63" spans="1:10" ht="16" customHeight="1">
      <c r="A63" s="10"/>
      <c r="B63" s="10" t="s">
        <v>112</v>
      </c>
      <c r="C63" s="10"/>
      <c r="D63" s="10" t="s">
        <v>41</v>
      </c>
      <c r="E63" s="12"/>
      <c r="F63" s="11"/>
      <c r="G63" s="11">
        <f t="shared" si="2"/>
        <v>0</v>
      </c>
      <c r="H63" s="77" t="s">
        <v>141</v>
      </c>
    </row>
    <row r="64" spans="1:10" ht="16" customHeight="1">
      <c r="A64" s="10"/>
      <c r="B64" s="10" t="s">
        <v>113</v>
      </c>
      <c r="C64" s="10"/>
      <c r="D64" s="10" t="s">
        <v>41</v>
      </c>
      <c r="E64" s="12"/>
      <c r="F64" s="11"/>
      <c r="G64" s="11">
        <f t="shared" si="2"/>
        <v>0</v>
      </c>
      <c r="H64" s="77" t="s">
        <v>141</v>
      </c>
    </row>
    <row r="65" spans="1:9" ht="16" customHeight="1">
      <c r="A65" s="10"/>
      <c r="B65" s="10" t="s">
        <v>114</v>
      </c>
      <c r="C65" s="10"/>
      <c r="D65" s="10" t="s">
        <v>41</v>
      </c>
      <c r="E65" s="12"/>
      <c r="F65" s="11"/>
      <c r="G65" s="11">
        <f t="shared" si="2"/>
        <v>0</v>
      </c>
      <c r="H65" s="77" t="s">
        <v>141</v>
      </c>
    </row>
    <row r="66" spans="1:9" ht="16" customHeight="1">
      <c r="A66" s="10"/>
      <c r="B66" s="10" t="s">
        <v>132</v>
      </c>
      <c r="C66" s="10"/>
      <c r="D66" s="10" t="s">
        <v>41</v>
      </c>
      <c r="E66" s="12"/>
      <c r="F66" s="11"/>
      <c r="G66" s="11">
        <f t="shared" si="2"/>
        <v>0</v>
      </c>
      <c r="H66" s="77" t="s">
        <v>141</v>
      </c>
    </row>
    <row r="67" spans="1:9" ht="16" customHeight="1">
      <c r="A67" s="10"/>
      <c r="B67" s="10" t="s">
        <v>115</v>
      </c>
      <c r="C67" s="10"/>
      <c r="D67" s="10" t="s">
        <v>41</v>
      </c>
      <c r="E67" s="12"/>
      <c r="F67" s="11"/>
      <c r="G67" s="11">
        <f t="shared" si="2"/>
        <v>0</v>
      </c>
      <c r="H67" s="77" t="s">
        <v>141</v>
      </c>
    </row>
    <row r="68" spans="1:9" ht="16" customHeight="1">
      <c r="A68" s="10"/>
      <c r="B68" s="10" t="s">
        <v>116</v>
      </c>
      <c r="C68" s="10"/>
      <c r="D68" s="10" t="s">
        <v>41</v>
      </c>
      <c r="E68" s="12"/>
      <c r="F68" s="11"/>
      <c r="G68" s="11">
        <f t="shared" si="2"/>
        <v>0</v>
      </c>
      <c r="H68" s="77" t="s">
        <v>141</v>
      </c>
    </row>
    <row r="69" spans="1:9" ht="16" customHeight="1">
      <c r="A69" s="10"/>
      <c r="B69" s="10" t="s">
        <v>117</v>
      </c>
      <c r="C69" s="10"/>
      <c r="D69" s="10" t="s">
        <v>41</v>
      </c>
      <c r="E69" s="12"/>
      <c r="F69" s="11"/>
      <c r="G69" s="11">
        <f t="shared" si="2"/>
        <v>0</v>
      </c>
      <c r="H69" s="77" t="s">
        <v>141</v>
      </c>
    </row>
    <row r="70" spans="1:9" ht="16" customHeight="1">
      <c r="A70" s="10"/>
      <c r="B70" s="10" t="s">
        <v>118</v>
      </c>
      <c r="C70" s="10"/>
      <c r="D70" s="10" t="s">
        <v>41</v>
      </c>
      <c r="E70" s="12"/>
      <c r="F70" s="11"/>
      <c r="G70" s="11">
        <f t="shared" si="2"/>
        <v>0</v>
      </c>
      <c r="H70" s="77" t="s">
        <v>141</v>
      </c>
    </row>
    <row r="71" spans="1:9" ht="16" customHeight="1">
      <c r="A71" s="10"/>
      <c r="B71" s="10" t="s">
        <v>133</v>
      </c>
      <c r="C71" s="10"/>
      <c r="D71" s="10" t="s">
        <v>41</v>
      </c>
      <c r="E71" s="12"/>
      <c r="F71" s="11"/>
      <c r="G71" s="11">
        <f t="shared" si="2"/>
        <v>0</v>
      </c>
      <c r="H71" s="77" t="s">
        <v>141</v>
      </c>
    </row>
    <row r="72" spans="1:9" ht="16" customHeight="1">
      <c r="A72" s="10"/>
      <c r="B72" s="10" t="s">
        <v>119</v>
      </c>
      <c r="C72" s="10"/>
      <c r="D72" s="10" t="s">
        <v>41</v>
      </c>
      <c r="E72" s="12"/>
      <c r="F72" s="11"/>
      <c r="G72" s="11">
        <f t="shared" si="2"/>
        <v>0</v>
      </c>
      <c r="H72" s="77" t="s">
        <v>141</v>
      </c>
    </row>
    <row r="73" spans="1:9" ht="16" customHeight="1">
      <c r="A73" s="10"/>
      <c r="B73" s="10" t="s">
        <v>120</v>
      </c>
      <c r="C73" s="10"/>
      <c r="D73" s="10" t="s">
        <v>41</v>
      </c>
      <c r="E73" s="12"/>
      <c r="F73" s="11"/>
      <c r="G73" s="11">
        <f t="shared" si="2"/>
        <v>0</v>
      </c>
      <c r="H73" s="77" t="s">
        <v>141</v>
      </c>
    </row>
    <row r="74" spans="1:9" ht="16" customHeight="1">
      <c r="A74" s="10"/>
      <c r="B74" s="10" t="s">
        <v>121</v>
      </c>
      <c r="C74" s="10"/>
      <c r="D74" s="10" t="s">
        <v>41</v>
      </c>
      <c r="E74" s="12"/>
      <c r="F74" s="11"/>
      <c r="G74" s="11">
        <f t="shared" si="2"/>
        <v>0</v>
      </c>
      <c r="H74" s="77" t="s">
        <v>141</v>
      </c>
    </row>
    <row r="75" spans="1:9" ht="16" customHeight="1">
      <c r="A75" s="10"/>
      <c r="B75" s="10" t="s">
        <v>122</v>
      </c>
      <c r="C75" s="10"/>
      <c r="D75" s="10" t="s">
        <v>41</v>
      </c>
      <c r="E75" s="12"/>
      <c r="F75" s="11"/>
      <c r="G75" s="11">
        <f t="shared" si="2"/>
        <v>0</v>
      </c>
      <c r="H75" s="77" t="s">
        <v>141</v>
      </c>
    </row>
    <row r="76" spans="1:9" ht="16" customHeight="1">
      <c r="A76" s="10"/>
      <c r="B76" s="10" t="s">
        <v>134</v>
      </c>
      <c r="C76" s="10"/>
      <c r="D76" s="10" t="s">
        <v>41</v>
      </c>
      <c r="E76" s="12"/>
      <c r="F76" s="11"/>
      <c r="G76" s="11">
        <f t="shared" si="2"/>
        <v>0</v>
      </c>
      <c r="H76" s="77" t="s">
        <v>141</v>
      </c>
    </row>
    <row r="77" spans="1:9" ht="17.149999999999999" customHeight="1">
      <c r="A77" s="30"/>
      <c r="B77" s="31" t="s">
        <v>89</v>
      </c>
      <c r="C77" s="30"/>
      <c r="D77" s="30"/>
      <c r="E77" s="30"/>
      <c r="F77" s="32"/>
      <c r="G77" s="32">
        <f>SUM(G78:G92)</f>
        <v>0</v>
      </c>
      <c r="H77" s="30"/>
      <c r="I77" s="101" t="s">
        <v>168</v>
      </c>
    </row>
    <row r="78" spans="1:9" ht="40.5">
      <c r="A78" s="10"/>
      <c r="B78" s="10" t="s">
        <v>127</v>
      </c>
      <c r="C78" s="10"/>
      <c r="D78" s="62" t="s">
        <v>224</v>
      </c>
      <c r="E78" s="12"/>
      <c r="F78" s="11"/>
      <c r="G78" s="11">
        <f>E78*F78</f>
        <v>0</v>
      </c>
      <c r="H78" s="112" t="s">
        <v>226</v>
      </c>
    </row>
    <row r="79" spans="1:9" ht="40.5">
      <c r="A79" s="10"/>
      <c r="B79" s="10" t="s">
        <v>128</v>
      </c>
      <c r="C79" s="10"/>
      <c r="D79" s="62" t="s">
        <v>224</v>
      </c>
      <c r="E79" s="12"/>
      <c r="F79" s="11"/>
      <c r="G79" s="11">
        <f t="shared" ref="G79:G92" si="3">E79*F79</f>
        <v>0</v>
      </c>
      <c r="H79" s="112" t="s">
        <v>226</v>
      </c>
    </row>
    <row r="80" spans="1:9" ht="40.5">
      <c r="A80" s="10"/>
      <c r="B80" s="10" t="s">
        <v>129</v>
      </c>
      <c r="C80" s="10"/>
      <c r="D80" s="62" t="s">
        <v>224</v>
      </c>
      <c r="E80" s="12"/>
      <c r="F80" s="11"/>
      <c r="G80" s="11">
        <f t="shared" si="3"/>
        <v>0</v>
      </c>
      <c r="H80" s="112" t="s">
        <v>226</v>
      </c>
    </row>
    <row r="81" spans="1:12" ht="40.5">
      <c r="A81" s="10"/>
      <c r="B81" s="10" t="s">
        <v>130</v>
      </c>
      <c r="C81" s="10"/>
      <c r="D81" s="62" t="s">
        <v>224</v>
      </c>
      <c r="E81" s="12"/>
      <c r="F81" s="11"/>
      <c r="G81" s="11">
        <f t="shared" si="3"/>
        <v>0</v>
      </c>
      <c r="H81" s="112" t="s">
        <v>226</v>
      </c>
    </row>
    <row r="82" spans="1:12" ht="40.5">
      <c r="A82" s="10"/>
      <c r="B82" s="10" t="s">
        <v>135</v>
      </c>
      <c r="C82" s="10"/>
      <c r="D82" s="62" t="s">
        <v>224</v>
      </c>
      <c r="E82" s="12"/>
      <c r="F82" s="11"/>
      <c r="G82" s="11">
        <f t="shared" si="3"/>
        <v>0</v>
      </c>
      <c r="H82" s="112" t="s">
        <v>226</v>
      </c>
    </row>
    <row r="83" spans="1:12" ht="40.5">
      <c r="A83" s="10"/>
      <c r="B83" s="10" t="s">
        <v>136</v>
      </c>
      <c r="C83" s="10"/>
      <c r="D83" s="62" t="s">
        <v>224</v>
      </c>
      <c r="E83" s="12"/>
      <c r="F83" s="11"/>
      <c r="G83" s="11">
        <f t="shared" si="3"/>
        <v>0</v>
      </c>
      <c r="H83" s="112" t="s">
        <v>226</v>
      </c>
    </row>
    <row r="84" spans="1:12" ht="40.5">
      <c r="A84" s="10"/>
      <c r="B84" s="10" t="s">
        <v>137</v>
      </c>
      <c r="C84" s="10"/>
      <c r="D84" s="62" t="s">
        <v>224</v>
      </c>
      <c r="E84" s="12"/>
      <c r="F84" s="11"/>
      <c r="G84" s="11">
        <f t="shared" si="3"/>
        <v>0</v>
      </c>
      <c r="H84" s="112" t="s">
        <v>226</v>
      </c>
    </row>
    <row r="85" spans="1:12" ht="40.5">
      <c r="A85" s="10"/>
      <c r="B85" s="10" t="s">
        <v>138</v>
      </c>
      <c r="C85" s="10"/>
      <c r="D85" s="62" t="s">
        <v>224</v>
      </c>
      <c r="E85" s="12"/>
      <c r="F85" s="11"/>
      <c r="G85" s="11">
        <f t="shared" si="3"/>
        <v>0</v>
      </c>
      <c r="H85" s="112" t="s">
        <v>226</v>
      </c>
    </row>
    <row r="86" spans="1:12" ht="40.5">
      <c r="A86" s="62"/>
      <c r="B86" s="62" t="s">
        <v>139</v>
      </c>
      <c r="C86" s="62"/>
      <c r="D86" s="62" t="s">
        <v>224</v>
      </c>
      <c r="E86" s="87"/>
      <c r="F86" s="88"/>
      <c r="G86" s="11">
        <f t="shared" si="3"/>
        <v>0</v>
      </c>
      <c r="H86" s="112" t="s">
        <v>226</v>
      </c>
    </row>
    <row r="87" spans="1:12" ht="40.5">
      <c r="A87" s="63"/>
      <c r="B87" s="63" t="s">
        <v>140</v>
      </c>
      <c r="C87" s="63"/>
      <c r="D87" s="62" t="s">
        <v>224</v>
      </c>
      <c r="E87" s="89"/>
      <c r="F87" s="90"/>
      <c r="G87" s="11">
        <f t="shared" si="3"/>
        <v>0</v>
      </c>
      <c r="H87" s="112" t="s">
        <v>226</v>
      </c>
    </row>
    <row r="88" spans="1:12" ht="40.5">
      <c r="A88" s="63"/>
      <c r="B88" s="63" t="s">
        <v>158</v>
      </c>
      <c r="C88" s="63"/>
      <c r="D88" s="62" t="s">
        <v>224</v>
      </c>
      <c r="E88" s="89"/>
      <c r="F88" s="90"/>
      <c r="G88" s="11">
        <f t="shared" si="3"/>
        <v>0</v>
      </c>
      <c r="H88" s="112" t="s">
        <v>226</v>
      </c>
    </row>
    <row r="89" spans="1:12" ht="40.5">
      <c r="A89" s="63"/>
      <c r="B89" s="63" t="s">
        <v>159</v>
      </c>
      <c r="C89" s="63"/>
      <c r="D89" s="62" t="s">
        <v>224</v>
      </c>
      <c r="E89" s="89"/>
      <c r="F89" s="90"/>
      <c r="G89" s="11">
        <f t="shared" si="3"/>
        <v>0</v>
      </c>
      <c r="H89" s="112" t="s">
        <v>226</v>
      </c>
    </row>
    <row r="90" spans="1:12" ht="40.5">
      <c r="A90" s="63"/>
      <c r="B90" s="63" t="s">
        <v>160</v>
      </c>
      <c r="C90" s="63"/>
      <c r="D90" s="62" t="s">
        <v>224</v>
      </c>
      <c r="E90" s="89"/>
      <c r="F90" s="90"/>
      <c r="G90" s="11">
        <f t="shared" si="3"/>
        <v>0</v>
      </c>
      <c r="H90" s="112" t="s">
        <v>226</v>
      </c>
    </row>
    <row r="91" spans="1:12" ht="40.5">
      <c r="A91" s="63"/>
      <c r="B91" s="63" t="s">
        <v>161</v>
      </c>
      <c r="C91" s="63"/>
      <c r="D91" s="62" t="s">
        <v>224</v>
      </c>
      <c r="E91" s="89"/>
      <c r="F91" s="90"/>
      <c r="G91" s="11">
        <f t="shared" si="3"/>
        <v>0</v>
      </c>
      <c r="H91" s="112" t="s">
        <v>226</v>
      </c>
    </row>
    <row r="92" spans="1:12" ht="40.5">
      <c r="A92" s="94"/>
      <c r="B92" s="94" t="s">
        <v>162</v>
      </c>
      <c r="C92" s="94"/>
      <c r="D92" s="62" t="s">
        <v>224</v>
      </c>
      <c r="E92" s="95"/>
      <c r="F92" s="96"/>
      <c r="G92" s="88">
        <f t="shared" si="3"/>
        <v>0</v>
      </c>
      <c r="H92" s="112" t="s">
        <v>226</v>
      </c>
    </row>
    <row r="93" spans="1:12" s="46" customFormat="1" ht="18" customHeight="1">
      <c r="A93" s="133" t="s">
        <v>163</v>
      </c>
      <c r="B93" s="134"/>
      <c r="C93" s="66"/>
      <c r="D93" s="74"/>
      <c r="E93" s="30"/>
      <c r="F93" s="32"/>
      <c r="G93" s="32">
        <f>G50+G56+G77</f>
        <v>0</v>
      </c>
      <c r="H93" s="30"/>
      <c r="I93" s="101"/>
      <c r="L93" s="1"/>
    </row>
    <row r="94" spans="1:12" s="46" customFormat="1" ht="18" customHeight="1" thickBot="1">
      <c r="A94" s="129" t="s">
        <v>96</v>
      </c>
      <c r="B94" s="129"/>
      <c r="C94" s="129"/>
      <c r="D94" s="1"/>
      <c r="E94" s="53"/>
      <c r="F94" s="53"/>
      <c r="G94" s="1"/>
      <c r="H94" s="1"/>
      <c r="I94" s="101"/>
      <c r="L94" s="1"/>
    </row>
    <row r="95" spans="1:12" ht="33.5" customHeight="1">
      <c r="A95" s="39" t="s">
        <v>50</v>
      </c>
      <c r="B95" s="39" t="s">
        <v>97</v>
      </c>
      <c r="C95" s="39" t="s">
        <v>33</v>
      </c>
      <c r="D95" s="39" t="s">
        <v>34</v>
      </c>
      <c r="E95" s="56" t="s">
        <v>35</v>
      </c>
      <c r="F95" s="56" t="s">
        <v>36</v>
      </c>
      <c r="G95" s="39" t="s">
        <v>37</v>
      </c>
    </row>
    <row r="96" spans="1:12" ht="18" customHeight="1">
      <c r="A96" s="10"/>
      <c r="B96" s="10"/>
      <c r="C96" s="10" t="s">
        <v>41</v>
      </c>
      <c r="D96" s="10"/>
      <c r="E96" s="16"/>
      <c r="F96" s="11">
        <f>D96*E96</f>
        <v>0</v>
      </c>
      <c r="G96" s="10"/>
    </row>
    <row r="97" spans="1:7" ht="18" customHeight="1">
      <c r="A97" s="10"/>
      <c r="B97" s="10"/>
      <c r="C97" s="10" t="s">
        <v>41</v>
      </c>
      <c r="D97" s="10"/>
      <c r="E97" s="16"/>
      <c r="F97" s="11">
        <f t="shared" ref="F97:F101" si="4">D97*E97</f>
        <v>0</v>
      </c>
      <c r="G97" s="10"/>
    </row>
    <row r="98" spans="1:7" ht="18" customHeight="1">
      <c r="A98" s="10"/>
      <c r="B98" s="10"/>
      <c r="C98" s="10" t="s">
        <v>41</v>
      </c>
      <c r="D98" s="10"/>
      <c r="E98" s="16"/>
      <c r="F98" s="11">
        <f t="shared" si="4"/>
        <v>0</v>
      </c>
      <c r="G98" s="10"/>
    </row>
    <row r="99" spans="1:7" ht="18" customHeight="1">
      <c r="A99" s="10"/>
      <c r="B99" s="10"/>
      <c r="C99" s="10" t="s">
        <v>41</v>
      </c>
      <c r="D99" s="10"/>
      <c r="E99" s="57"/>
      <c r="F99" s="11">
        <f t="shared" si="4"/>
        <v>0</v>
      </c>
      <c r="G99" s="10"/>
    </row>
    <row r="100" spans="1:7" ht="18" customHeight="1">
      <c r="A100" s="10"/>
      <c r="B100" s="10"/>
      <c r="C100" s="10" t="s">
        <v>41</v>
      </c>
      <c r="D100" s="10"/>
      <c r="E100" s="57"/>
      <c r="F100" s="11">
        <f t="shared" si="4"/>
        <v>0</v>
      </c>
      <c r="G100" s="10"/>
    </row>
    <row r="101" spans="1:7" ht="18" customHeight="1">
      <c r="A101" s="10"/>
      <c r="B101" s="10"/>
      <c r="C101" s="10" t="s">
        <v>41</v>
      </c>
      <c r="D101" s="10"/>
      <c r="E101" s="57"/>
      <c r="F101" s="11">
        <f t="shared" si="4"/>
        <v>0</v>
      </c>
      <c r="G101" s="10"/>
    </row>
    <row r="102" spans="1:7" ht="18" customHeight="1" thickBot="1">
      <c r="A102" s="40"/>
      <c r="B102" s="41" t="s">
        <v>51</v>
      </c>
      <c r="C102" s="40"/>
      <c r="D102" s="40"/>
      <c r="E102" s="58"/>
      <c r="F102" s="58">
        <f>SUM(F96:F101)</f>
        <v>0</v>
      </c>
      <c r="G102" s="40"/>
    </row>
    <row r="103" spans="1:7" ht="18" customHeight="1">
      <c r="E103" s="54"/>
      <c r="F103" s="54"/>
    </row>
    <row r="104" spans="1:7" ht="18" customHeight="1" thickBot="1">
      <c r="A104" s="129" t="s">
        <v>98</v>
      </c>
      <c r="B104" s="129"/>
      <c r="C104" s="129"/>
      <c r="E104" s="53"/>
      <c r="F104" s="53"/>
    </row>
    <row r="105" spans="1:7" ht="18" customHeight="1">
      <c r="A105" s="42" t="s">
        <v>52</v>
      </c>
      <c r="B105" s="42" t="s">
        <v>53</v>
      </c>
      <c r="C105" s="42"/>
      <c r="D105" s="42"/>
      <c r="E105" s="59"/>
      <c r="F105" s="59" t="s">
        <v>36</v>
      </c>
      <c r="G105" s="42" t="s">
        <v>37</v>
      </c>
    </row>
    <row r="106" spans="1:7" ht="18" customHeight="1">
      <c r="A106" s="10">
        <v>1</v>
      </c>
      <c r="B106" s="43" t="s">
        <v>99</v>
      </c>
      <c r="C106" s="10"/>
      <c r="D106" s="10"/>
      <c r="E106" s="16"/>
      <c r="F106" s="16">
        <f>F102</f>
        <v>0</v>
      </c>
      <c r="G106" s="10"/>
    </row>
    <row r="107" spans="1:7" ht="18" customHeight="1">
      <c r="A107" s="10">
        <v>2</v>
      </c>
      <c r="B107" s="43" t="s">
        <v>100</v>
      </c>
      <c r="C107" s="10"/>
      <c r="D107" s="10"/>
      <c r="E107" s="16"/>
      <c r="F107" s="16">
        <f>F47+G93</f>
        <v>0</v>
      </c>
      <c r="G107" s="10"/>
    </row>
    <row r="108" spans="1:7" ht="18" customHeight="1" thickBot="1">
      <c r="A108" s="44"/>
      <c r="B108" s="45" t="s">
        <v>101</v>
      </c>
      <c r="C108" s="44"/>
      <c r="D108" s="44"/>
      <c r="E108" s="60"/>
      <c r="F108" s="60">
        <f>F106-F107</f>
        <v>0</v>
      </c>
      <c r="G108" s="44"/>
    </row>
    <row r="109" spans="1:7" ht="18" customHeight="1">
      <c r="F109" s="61"/>
    </row>
    <row r="110" spans="1:7" ht="18" customHeight="1">
      <c r="D110" s="127"/>
      <c r="E110" s="127"/>
      <c r="F110" s="127"/>
      <c r="G110" s="127"/>
    </row>
    <row r="111" spans="1:7" ht="18" customHeight="1">
      <c r="A111" s="128"/>
      <c r="B111" s="128"/>
      <c r="C111" s="128"/>
      <c r="D111" s="128"/>
      <c r="E111" s="128"/>
      <c r="F111" s="128"/>
      <c r="G111" s="128"/>
    </row>
    <row r="112" spans="1:7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mergeCells count="13">
    <mergeCell ref="A111:C111"/>
    <mergeCell ref="D111:G111"/>
    <mergeCell ref="D110:G110"/>
    <mergeCell ref="A3:G3"/>
    <mergeCell ref="A15:C15"/>
    <mergeCell ref="A48:C48"/>
    <mergeCell ref="A94:C94"/>
    <mergeCell ref="A104:C104"/>
    <mergeCell ref="A5:G5"/>
    <mergeCell ref="A93:B93"/>
    <mergeCell ref="A8:B8"/>
    <mergeCell ref="A6:B7"/>
    <mergeCell ref="C6:G6"/>
  </mergeCells>
  <pageMargins left="0.2" right="0.25" top="0.16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000A-B3DE-42A7-8A32-CC6A0FB87DEB}">
  <dimension ref="A1:K74"/>
  <sheetViews>
    <sheetView topLeftCell="A22" zoomScale="60" zoomScaleNormal="60" workbookViewId="0">
      <selection activeCell="B50" sqref="B50"/>
    </sheetView>
  </sheetViews>
  <sheetFormatPr defaultColWidth="9" defaultRowHeight="13.5"/>
  <cols>
    <col min="1" max="1" width="8.08203125" style="1" customWidth="1"/>
    <col min="2" max="2" width="28.6640625" style="1" customWidth="1"/>
    <col min="3" max="3" width="9.08203125" style="1" customWidth="1"/>
    <col min="4" max="4" width="9" style="1"/>
    <col min="5" max="5" width="14.33203125" style="1" bestFit="1" customWidth="1"/>
    <col min="6" max="6" width="11.9140625" style="1" customWidth="1"/>
    <col min="7" max="7" width="12.1640625" style="1" customWidth="1"/>
    <col min="8" max="8" width="76.33203125" style="1" bestFit="1" customWidth="1"/>
    <col min="9" max="9" width="32.58203125" style="101" bestFit="1" customWidth="1"/>
    <col min="10" max="10" width="76" style="46" bestFit="1" customWidth="1"/>
    <col min="11" max="16384" width="9" style="1"/>
  </cols>
  <sheetData>
    <row r="1" spans="1:10">
      <c r="I1" s="101" t="s">
        <v>164</v>
      </c>
      <c r="J1" s="47" t="s">
        <v>57</v>
      </c>
    </row>
    <row r="3" spans="1:10" ht="19.5">
      <c r="A3" s="126" t="s">
        <v>58</v>
      </c>
      <c r="B3" s="126"/>
      <c r="C3" s="126"/>
      <c r="D3" s="126"/>
      <c r="E3" s="126"/>
      <c r="F3" s="126"/>
      <c r="G3" s="126"/>
    </row>
    <row r="4" spans="1:10">
      <c r="J4" s="46" t="s">
        <v>59</v>
      </c>
    </row>
    <row r="5" spans="1:10" ht="14" thickBot="1">
      <c r="A5" s="129" t="s">
        <v>102</v>
      </c>
      <c r="B5" s="129"/>
      <c r="C5" s="129"/>
      <c r="D5" s="4"/>
      <c r="E5" s="4"/>
      <c r="F5" s="4"/>
      <c r="G5" s="4"/>
      <c r="J5" s="46" t="s">
        <v>61</v>
      </c>
    </row>
    <row r="6" spans="1:10" ht="37" customHeight="1">
      <c r="A6" s="5" t="s">
        <v>50</v>
      </c>
      <c r="B6" s="5" t="s">
        <v>62</v>
      </c>
      <c r="C6" s="5" t="s">
        <v>33</v>
      </c>
      <c r="D6" s="5" t="s">
        <v>34</v>
      </c>
      <c r="E6" s="5" t="s">
        <v>63</v>
      </c>
      <c r="F6" s="5" t="s">
        <v>36</v>
      </c>
      <c r="G6" s="5" t="s">
        <v>37</v>
      </c>
      <c r="J6" s="46" t="s">
        <v>64</v>
      </c>
    </row>
    <row r="7" spans="1:10" ht="18" customHeight="1">
      <c r="A7" s="8"/>
      <c r="B7" s="7" t="s">
        <v>75</v>
      </c>
      <c r="C7" s="8"/>
      <c r="D7" s="8"/>
      <c r="E7" s="13"/>
      <c r="F7" s="13">
        <f>SUM(F8:F11)</f>
        <v>0</v>
      </c>
      <c r="G7" s="8"/>
      <c r="I7" s="101" t="s">
        <v>171</v>
      </c>
      <c r="J7" s="48" t="s">
        <v>76</v>
      </c>
    </row>
    <row r="8" spans="1:10" ht="16" customHeight="1">
      <c r="A8" s="10"/>
      <c r="B8" s="10" t="s">
        <v>67</v>
      </c>
      <c r="C8" s="10" t="s">
        <v>172</v>
      </c>
      <c r="D8" s="12"/>
      <c r="E8" s="11"/>
      <c r="F8" s="11">
        <f>E8*D8</f>
        <v>0</v>
      </c>
      <c r="G8" s="12"/>
      <c r="J8" s="49" t="s">
        <v>77</v>
      </c>
    </row>
    <row r="9" spans="1:10" ht="16" customHeight="1">
      <c r="A9" s="10"/>
      <c r="B9" s="10" t="s">
        <v>69</v>
      </c>
      <c r="C9" s="10" t="s">
        <v>172</v>
      </c>
      <c r="D9" s="15"/>
      <c r="E9" s="11"/>
      <c r="F9" s="11">
        <f t="shared" ref="F9:F24" si="0">E9*D9</f>
        <v>0</v>
      </c>
      <c r="G9" s="15"/>
      <c r="J9" s="48" t="s">
        <v>11</v>
      </c>
    </row>
    <row r="10" spans="1:10" ht="16" customHeight="1">
      <c r="A10" s="10"/>
      <c r="B10" s="10" t="s">
        <v>71</v>
      </c>
      <c r="C10" s="10" t="s">
        <v>172</v>
      </c>
      <c r="D10" s="15"/>
      <c r="E10" s="14"/>
      <c r="F10" s="11">
        <f t="shared" si="0"/>
        <v>0</v>
      </c>
      <c r="G10" s="15"/>
      <c r="J10" s="48" t="s">
        <v>78</v>
      </c>
    </row>
    <row r="11" spans="1:10" ht="16" customHeight="1">
      <c r="A11" s="10"/>
      <c r="B11" s="10" t="s">
        <v>73</v>
      </c>
      <c r="C11" s="10" t="s">
        <v>172</v>
      </c>
      <c r="D11" s="15"/>
      <c r="E11" s="14"/>
      <c r="F11" s="11">
        <f t="shared" si="0"/>
        <v>0</v>
      </c>
      <c r="G11" s="15"/>
      <c r="J11" s="48" t="s">
        <v>79</v>
      </c>
    </row>
    <row r="12" spans="1:10" ht="18" customHeight="1">
      <c r="A12" s="8"/>
      <c r="B12" s="7" t="s">
        <v>83</v>
      </c>
      <c r="C12" s="8"/>
      <c r="D12" s="8"/>
      <c r="E12" s="13"/>
      <c r="F12" s="13"/>
      <c r="G12" s="8"/>
    </row>
    <row r="13" spans="1:10" ht="16" customHeight="1">
      <c r="A13" s="10"/>
      <c r="B13" s="10" t="s">
        <v>67</v>
      </c>
      <c r="C13" s="10" t="s">
        <v>172</v>
      </c>
      <c r="D13" s="15"/>
      <c r="E13" s="14"/>
      <c r="F13" s="11"/>
      <c r="G13" s="15"/>
      <c r="J13" s="48"/>
    </row>
    <row r="14" spans="1:10" ht="16" customHeight="1">
      <c r="A14" s="10"/>
      <c r="B14" s="10" t="s">
        <v>69</v>
      </c>
      <c r="C14" s="10" t="s">
        <v>172</v>
      </c>
      <c r="D14" s="15"/>
      <c r="E14" s="14"/>
      <c r="F14" s="11"/>
      <c r="G14" s="15"/>
      <c r="J14" s="48"/>
    </row>
    <row r="15" spans="1:10" ht="16" customHeight="1">
      <c r="A15" s="10"/>
      <c r="B15" s="10"/>
      <c r="C15" s="10"/>
      <c r="D15" s="15"/>
      <c r="E15" s="14"/>
      <c r="F15" s="11"/>
      <c r="G15" s="15"/>
      <c r="J15" s="48"/>
    </row>
    <row r="16" spans="1:10" ht="18" customHeight="1">
      <c r="A16" s="8"/>
      <c r="B16" s="7" t="s">
        <v>89</v>
      </c>
      <c r="C16" s="8"/>
      <c r="D16" s="8"/>
      <c r="E16" s="13"/>
      <c r="F16" s="13">
        <f>SUM(F17:F19)</f>
        <v>0</v>
      </c>
      <c r="G16" s="8"/>
      <c r="J16" s="46" t="s">
        <v>90</v>
      </c>
    </row>
    <row r="17" spans="1:11" ht="16" customHeight="1">
      <c r="A17" s="10"/>
      <c r="B17" s="10" t="s">
        <v>67</v>
      </c>
      <c r="C17" s="10" t="s">
        <v>172</v>
      </c>
      <c r="D17" s="15"/>
      <c r="E17" s="14"/>
      <c r="F17" s="11">
        <f>E17*D17</f>
        <v>0</v>
      </c>
      <c r="G17" s="15"/>
    </row>
    <row r="18" spans="1:11" ht="16" customHeight="1">
      <c r="A18" s="10"/>
      <c r="B18" s="10" t="s">
        <v>69</v>
      </c>
      <c r="C18" s="10" t="s">
        <v>172</v>
      </c>
      <c r="D18" s="12"/>
      <c r="E18" s="14"/>
      <c r="F18" s="11">
        <f t="shared" si="0"/>
        <v>0</v>
      </c>
      <c r="G18" s="12"/>
    </row>
    <row r="19" spans="1:11" ht="16" customHeight="1">
      <c r="A19" s="10"/>
      <c r="B19" s="10" t="s">
        <v>71</v>
      </c>
      <c r="C19" s="10" t="s">
        <v>172</v>
      </c>
      <c r="D19" s="12"/>
      <c r="E19" s="11"/>
      <c r="F19" s="11">
        <f t="shared" si="0"/>
        <v>0</v>
      </c>
      <c r="G19" s="12"/>
      <c r="J19" s="46" t="s">
        <v>91</v>
      </c>
    </row>
    <row r="20" spans="1:11" ht="18" customHeight="1">
      <c r="A20" s="8"/>
      <c r="B20" s="7" t="s">
        <v>92</v>
      </c>
      <c r="C20" s="8"/>
      <c r="D20" s="8"/>
      <c r="E20" s="13"/>
      <c r="F20" s="13">
        <f>SUM(F21:F24)</f>
        <v>0</v>
      </c>
      <c r="G20" s="8"/>
      <c r="J20" s="48" t="s">
        <v>93</v>
      </c>
    </row>
    <row r="21" spans="1:11" ht="16" customHeight="1">
      <c r="A21" s="10"/>
      <c r="B21" s="10" t="s">
        <v>67</v>
      </c>
      <c r="C21" s="10" t="s">
        <v>172</v>
      </c>
      <c r="D21" s="12"/>
      <c r="E21" s="11"/>
      <c r="F21" s="11">
        <f t="shared" si="0"/>
        <v>0</v>
      </c>
      <c r="G21" s="12"/>
    </row>
    <row r="22" spans="1:11" ht="16" customHeight="1">
      <c r="A22" s="10"/>
      <c r="B22" s="10" t="s">
        <v>69</v>
      </c>
      <c r="C22" s="10" t="s">
        <v>172</v>
      </c>
      <c r="D22" s="12"/>
      <c r="E22" s="11"/>
      <c r="F22" s="11">
        <f t="shared" si="0"/>
        <v>0</v>
      </c>
      <c r="G22" s="12"/>
    </row>
    <row r="23" spans="1:11" ht="16" customHeight="1">
      <c r="A23" s="10"/>
      <c r="B23" s="10" t="s">
        <v>71</v>
      </c>
      <c r="C23" s="10" t="s">
        <v>172</v>
      </c>
      <c r="D23" s="12"/>
      <c r="E23" s="11"/>
      <c r="F23" s="11">
        <f t="shared" si="0"/>
        <v>0</v>
      </c>
      <c r="G23" s="12"/>
    </row>
    <row r="24" spans="1:11" ht="16" customHeight="1">
      <c r="A24" s="10"/>
      <c r="B24" s="10" t="s">
        <v>73</v>
      </c>
      <c r="C24" s="10" t="s">
        <v>172</v>
      </c>
      <c r="D24" s="12"/>
      <c r="E24" s="11"/>
      <c r="F24" s="11">
        <f t="shared" si="0"/>
        <v>0</v>
      </c>
      <c r="G24" s="12"/>
    </row>
    <row r="25" spans="1:11" ht="18" customHeight="1" thickBot="1">
      <c r="A25" s="17"/>
      <c r="B25" s="18" t="s">
        <v>29</v>
      </c>
      <c r="C25" s="17"/>
      <c r="D25" s="17"/>
      <c r="E25" s="19"/>
      <c r="F25" s="20">
        <f>F7+F16+F20</f>
        <v>0</v>
      </c>
      <c r="G25" s="17"/>
    </row>
    <row r="26" spans="1:11" s="46" customFormat="1" ht="18" customHeight="1">
      <c r="A26" s="1"/>
      <c r="B26" s="1"/>
      <c r="C26" s="1"/>
      <c r="D26" s="1"/>
      <c r="E26" s="53"/>
      <c r="F26" s="53"/>
      <c r="G26" s="1"/>
      <c r="H26" s="1"/>
      <c r="I26" s="101"/>
      <c r="K26" s="1"/>
    </row>
    <row r="27" spans="1:11" s="46" customFormat="1" ht="18" customHeight="1">
      <c r="A27" s="129" t="s">
        <v>94</v>
      </c>
      <c r="B27" s="129"/>
      <c r="C27" s="129"/>
      <c r="D27" s="1"/>
      <c r="E27" s="53"/>
      <c r="F27" s="53"/>
      <c r="G27" s="1"/>
      <c r="H27" s="1"/>
      <c r="I27" s="101"/>
      <c r="K27" s="1"/>
    </row>
    <row r="28" spans="1:11" s="46" customFormat="1" ht="18" customHeight="1">
      <c r="A28" s="82" t="s">
        <v>50</v>
      </c>
      <c r="B28" s="82" t="s">
        <v>95</v>
      </c>
      <c r="C28" s="82" t="s">
        <v>123</v>
      </c>
      <c r="D28" s="82" t="s">
        <v>33</v>
      </c>
      <c r="E28" s="83" t="s">
        <v>34</v>
      </c>
      <c r="F28" s="83" t="s">
        <v>35</v>
      </c>
      <c r="G28" s="82" t="s">
        <v>36</v>
      </c>
      <c r="H28" s="82" t="s">
        <v>37</v>
      </c>
      <c r="I28" s="101"/>
      <c r="K28" s="1"/>
    </row>
    <row r="29" spans="1:11" s="46" customFormat="1" ht="18" customHeight="1">
      <c r="A29" s="65"/>
      <c r="B29" s="66" t="s">
        <v>83</v>
      </c>
      <c r="C29" s="66"/>
      <c r="D29" s="65"/>
      <c r="E29" s="65"/>
      <c r="F29" s="67"/>
      <c r="G29" s="67">
        <f>SUM(G30:G37)</f>
        <v>0</v>
      </c>
      <c r="H29" s="65"/>
      <c r="I29" s="101"/>
      <c r="K29" s="1"/>
    </row>
    <row r="30" spans="1:11" s="46" customFormat="1" ht="27">
      <c r="A30" s="68"/>
      <c r="B30" s="63" t="s">
        <v>125</v>
      </c>
      <c r="C30" s="68"/>
      <c r="D30" s="63" t="s">
        <v>157</v>
      </c>
      <c r="E30" s="69"/>
      <c r="F30" s="69"/>
      <c r="G30" s="97">
        <f>E30*F30</f>
        <v>0</v>
      </c>
      <c r="H30" s="84" t="s">
        <v>156</v>
      </c>
      <c r="I30" s="101"/>
      <c r="K30" s="1"/>
    </row>
    <row r="31" spans="1:11" s="46" customFormat="1" ht="27">
      <c r="A31" s="68"/>
      <c r="B31" s="63" t="s">
        <v>126</v>
      </c>
      <c r="C31" s="68"/>
      <c r="D31" s="63" t="s">
        <v>157</v>
      </c>
      <c r="E31" s="69"/>
      <c r="F31" s="69"/>
      <c r="G31" s="97">
        <f t="shared" ref="G31:G37" si="1">E31*F31</f>
        <v>0</v>
      </c>
      <c r="H31" s="84" t="s">
        <v>156</v>
      </c>
      <c r="I31" s="101"/>
      <c r="K31" s="1"/>
    </row>
    <row r="32" spans="1:11" s="46" customFormat="1" ht="27">
      <c r="A32" s="68"/>
      <c r="B32" s="63" t="s">
        <v>111</v>
      </c>
      <c r="C32" s="68"/>
      <c r="D32" s="63" t="s">
        <v>157</v>
      </c>
      <c r="E32" s="69"/>
      <c r="F32" s="69"/>
      <c r="G32" s="97">
        <f t="shared" si="1"/>
        <v>0</v>
      </c>
      <c r="H32" s="84" t="s">
        <v>156</v>
      </c>
      <c r="I32" s="101"/>
      <c r="K32" s="1"/>
    </row>
    <row r="33" spans="1:11" s="46" customFormat="1" ht="27">
      <c r="A33" s="68"/>
      <c r="B33" s="63" t="s">
        <v>112</v>
      </c>
      <c r="C33" s="68"/>
      <c r="D33" s="63" t="s">
        <v>157</v>
      </c>
      <c r="E33" s="69"/>
      <c r="F33" s="69"/>
      <c r="G33" s="97">
        <f t="shared" si="1"/>
        <v>0</v>
      </c>
      <c r="H33" s="84" t="s">
        <v>156</v>
      </c>
      <c r="I33" s="101"/>
      <c r="K33" s="1"/>
    </row>
    <row r="34" spans="1:11" s="46" customFormat="1" ht="27">
      <c r="A34" s="68"/>
      <c r="B34" s="63" t="s">
        <v>115</v>
      </c>
      <c r="C34" s="68"/>
      <c r="D34" s="63" t="s">
        <v>157</v>
      </c>
      <c r="E34" s="69"/>
      <c r="F34" s="69"/>
      <c r="G34" s="97">
        <f t="shared" si="1"/>
        <v>0</v>
      </c>
      <c r="H34" s="84" t="s">
        <v>156</v>
      </c>
      <c r="I34" s="101"/>
      <c r="K34" s="1"/>
    </row>
    <row r="35" spans="1:11" s="46" customFormat="1" ht="27">
      <c r="A35" s="68"/>
      <c r="B35" s="63" t="s">
        <v>116</v>
      </c>
      <c r="C35" s="68"/>
      <c r="D35" s="63" t="s">
        <v>157</v>
      </c>
      <c r="E35" s="69"/>
      <c r="F35" s="69"/>
      <c r="G35" s="97">
        <f t="shared" si="1"/>
        <v>0</v>
      </c>
      <c r="H35" s="84" t="s">
        <v>156</v>
      </c>
      <c r="I35" s="101"/>
      <c r="K35" s="1"/>
    </row>
    <row r="36" spans="1:11" s="46" customFormat="1" ht="27">
      <c r="A36" s="68"/>
      <c r="B36" s="63" t="s">
        <v>119</v>
      </c>
      <c r="C36" s="68"/>
      <c r="D36" s="63" t="s">
        <v>157</v>
      </c>
      <c r="E36" s="69"/>
      <c r="F36" s="69"/>
      <c r="G36" s="97">
        <f t="shared" si="1"/>
        <v>0</v>
      </c>
      <c r="H36" s="84" t="s">
        <v>156</v>
      </c>
      <c r="I36" s="101"/>
      <c r="K36" s="1"/>
    </row>
    <row r="37" spans="1:11" s="46" customFormat="1" ht="27">
      <c r="A37" s="68"/>
      <c r="B37" s="63" t="s">
        <v>120</v>
      </c>
      <c r="C37" s="68"/>
      <c r="D37" s="63" t="s">
        <v>157</v>
      </c>
      <c r="E37" s="69"/>
      <c r="F37" s="69"/>
      <c r="G37" s="97">
        <f t="shared" si="1"/>
        <v>0</v>
      </c>
      <c r="H37" s="84" t="s">
        <v>156</v>
      </c>
      <c r="I37" s="101"/>
      <c r="K37" s="1"/>
    </row>
    <row r="38" spans="1:11" s="46" customFormat="1" ht="18" customHeight="1">
      <c r="A38" s="91"/>
      <c r="B38" s="92" t="s">
        <v>89</v>
      </c>
      <c r="C38" s="91"/>
      <c r="D38" s="91"/>
      <c r="E38" s="93"/>
      <c r="F38" s="93"/>
      <c r="G38" s="67">
        <f>SUM(G39:G44)</f>
        <v>0</v>
      </c>
      <c r="H38" s="91"/>
      <c r="I38" s="101"/>
      <c r="K38" s="1"/>
    </row>
    <row r="39" spans="1:11" s="46" customFormat="1" ht="54">
      <c r="A39" s="63"/>
      <c r="B39" s="63" t="s">
        <v>127</v>
      </c>
      <c r="C39" s="63"/>
      <c r="D39" s="62" t="s">
        <v>224</v>
      </c>
      <c r="E39" s="90"/>
      <c r="F39" s="90"/>
      <c r="G39" s="97">
        <f>E39*F39</f>
        <v>0</v>
      </c>
      <c r="H39" s="84" t="s">
        <v>225</v>
      </c>
      <c r="I39" s="101"/>
      <c r="K39" s="1"/>
    </row>
    <row r="40" spans="1:11" s="46" customFormat="1" ht="54">
      <c r="A40" s="63"/>
      <c r="B40" s="63" t="s">
        <v>128</v>
      </c>
      <c r="C40" s="63"/>
      <c r="D40" s="62" t="s">
        <v>224</v>
      </c>
      <c r="E40" s="90"/>
      <c r="F40" s="90"/>
      <c r="G40" s="97">
        <f t="shared" ref="G40:G44" si="2">E40*F40</f>
        <v>0</v>
      </c>
      <c r="H40" s="84" t="s">
        <v>225</v>
      </c>
      <c r="I40" s="101"/>
      <c r="K40" s="1"/>
    </row>
    <row r="41" spans="1:11" s="46" customFormat="1" ht="54">
      <c r="A41" s="63"/>
      <c r="B41" s="63" t="s">
        <v>136</v>
      </c>
      <c r="C41" s="63"/>
      <c r="D41" s="62" t="s">
        <v>224</v>
      </c>
      <c r="E41" s="90"/>
      <c r="F41" s="90"/>
      <c r="G41" s="97">
        <f t="shared" si="2"/>
        <v>0</v>
      </c>
      <c r="H41" s="84" t="s">
        <v>225</v>
      </c>
      <c r="I41" s="101"/>
      <c r="K41" s="1"/>
    </row>
    <row r="42" spans="1:11" s="46" customFormat="1" ht="54">
      <c r="A42" s="63"/>
      <c r="B42" s="63" t="s">
        <v>137</v>
      </c>
      <c r="C42" s="63"/>
      <c r="D42" s="62" t="s">
        <v>224</v>
      </c>
      <c r="E42" s="90"/>
      <c r="F42" s="90"/>
      <c r="G42" s="97">
        <f t="shared" si="2"/>
        <v>0</v>
      </c>
      <c r="H42" s="84" t="s">
        <v>225</v>
      </c>
      <c r="I42" s="101"/>
      <c r="K42" s="1"/>
    </row>
    <row r="43" spans="1:11" s="46" customFormat="1" ht="54">
      <c r="A43" s="63"/>
      <c r="B43" s="63" t="s">
        <v>158</v>
      </c>
      <c r="C43" s="63"/>
      <c r="D43" s="62" t="s">
        <v>224</v>
      </c>
      <c r="E43" s="90"/>
      <c r="F43" s="90"/>
      <c r="G43" s="97">
        <f t="shared" si="2"/>
        <v>0</v>
      </c>
      <c r="H43" s="84" t="s">
        <v>225</v>
      </c>
      <c r="I43" s="101"/>
      <c r="K43" s="1"/>
    </row>
    <row r="44" spans="1:11" s="46" customFormat="1" ht="54">
      <c r="A44" s="63"/>
      <c r="B44" s="63" t="s">
        <v>159</v>
      </c>
      <c r="C44" s="63"/>
      <c r="D44" s="62" t="s">
        <v>224</v>
      </c>
      <c r="E44" s="90"/>
      <c r="F44" s="90"/>
      <c r="G44" s="97">
        <f t="shared" si="2"/>
        <v>0</v>
      </c>
      <c r="H44" s="84" t="s">
        <v>225</v>
      </c>
      <c r="I44" s="101"/>
      <c r="K44" s="1"/>
    </row>
    <row r="45" spans="1:11" s="46" customFormat="1" ht="18" customHeight="1">
      <c r="A45" s="142" t="s">
        <v>163</v>
      </c>
      <c r="B45" s="142"/>
      <c r="C45" s="98"/>
      <c r="D45" s="98"/>
      <c r="E45" s="99"/>
      <c r="F45" s="99"/>
      <c r="G45" s="100">
        <f>G29+G38</f>
        <v>0</v>
      </c>
      <c r="H45" s="98"/>
      <c r="I45" s="101"/>
      <c r="K45" s="1"/>
    </row>
    <row r="46" spans="1:11" s="46" customFormat="1" ht="18" customHeight="1">
      <c r="A46" s="1"/>
      <c r="B46" s="1"/>
      <c r="C46" s="1"/>
      <c r="D46" s="85"/>
      <c r="E46" s="86"/>
      <c r="F46" s="86"/>
      <c r="G46" s="85"/>
      <c r="H46" s="85"/>
      <c r="I46" s="101"/>
      <c r="K46" s="1"/>
    </row>
    <row r="47" spans="1:11" s="46" customFormat="1" ht="18" customHeight="1">
      <c r="A47" s="1"/>
      <c r="B47" s="1"/>
      <c r="C47" s="1"/>
      <c r="D47" s="1"/>
      <c r="E47" s="53"/>
      <c r="F47" s="53"/>
      <c r="G47" s="1"/>
      <c r="H47" s="1"/>
      <c r="I47" s="101"/>
      <c r="K47" s="1"/>
    </row>
    <row r="48" spans="1:11" s="46" customFormat="1" ht="18" customHeight="1" thickBot="1">
      <c r="A48" s="129" t="s">
        <v>103</v>
      </c>
      <c r="B48" s="129"/>
      <c r="C48" s="129"/>
      <c r="D48" s="1"/>
      <c r="E48" s="53"/>
      <c r="F48" s="53"/>
      <c r="G48" s="1"/>
      <c r="H48" s="1"/>
      <c r="I48" s="101"/>
      <c r="K48" s="1"/>
    </row>
    <row r="49" spans="1:7" ht="33.5" customHeight="1">
      <c r="A49" s="39" t="s">
        <v>50</v>
      </c>
      <c r="B49" s="39" t="s">
        <v>97</v>
      </c>
      <c r="C49" s="39" t="s">
        <v>33</v>
      </c>
      <c r="D49" s="39" t="s">
        <v>34</v>
      </c>
      <c r="E49" s="56" t="s">
        <v>35</v>
      </c>
      <c r="F49" s="56" t="s">
        <v>36</v>
      </c>
      <c r="G49" s="39" t="s">
        <v>37</v>
      </c>
    </row>
    <row r="50" spans="1:7" ht="18" customHeight="1">
      <c r="A50" s="10"/>
      <c r="B50" s="10"/>
      <c r="C50" s="10" t="s">
        <v>41</v>
      </c>
      <c r="D50" s="10"/>
      <c r="E50" s="16"/>
      <c r="F50" s="11">
        <f t="shared" ref="F50:F55" si="3">D50*E50</f>
        <v>0</v>
      </c>
      <c r="G50" s="10"/>
    </row>
    <row r="51" spans="1:7" ht="18" customHeight="1">
      <c r="A51" s="10"/>
      <c r="B51" s="10"/>
      <c r="C51" s="10" t="s">
        <v>41</v>
      </c>
      <c r="D51" s="10"/>
      <c r="E51" s="16"/>
      <c r="F51" s="11">
        <f t="shared" si="3"/>
        <v>0</v>
      </c>
      <c r="G51" s="10"/>
    </row>
    <row r="52" spans="1:7" ht="18" customHeight="1">
      <c r="A52" s="10"/>
      <c r="B52" s="10"/>
      <c r="C52" s="10" t="s">
        <v>41</v>
      </c>
      <c r="D52" s="10"/>
      <c r="E52" s="16"/>
      <c r="F52" s="11">
        <f t="shared" si="3"/>
        <v>0</v>
      </c>
      <c r="G52" s="10"/>
    </row>
    <row r="53" spans="1:7" ht="18" customHeight="1">
      <c r="A53" s="10"/>
      <c r="B53" s="10"/>
      <c r="C53" s="10" t="s">
        <v>41</v>
      </c>
      <c r="D53" s="10"/>
      <c r="E53" s="57"/>
      <c r="F53" s="11">
        <f t="shared" si="3"/>
        <v>0</v>
      </c>
      <c r="G53" s="10"/>
    </row>
    <row r="54" spans="1:7" ht="18" customHeight="1">
      <c r="A54" s="10"/>
      <c r="B54" s="10"/>
      <c r="C54" s="10" t="s">
        <v>41</v>
      </c>
      <c r="D54" s="10"/>
      <c r="E54" s="57"/>
      <c r="F54" s="11">
        <f t="shared" si="3"/>
        <v>0</v>
      </c>
      <c r="G54" s="10"/>
    </row>
    <row r="55" spans="1:7" ht="18" customHeight="1">
      <c r="A55" s="10"/>
      <c r="B55" s="10"/>
      <c r="C55" s="10" t="s">
        <v>41</v>
      </c>
      <c r="D55" s="10"/>
      <c r="E55" s="57"/>
      <c r="F55" s="11">
        <f t="shared" si="3"/>
        <v>0</v>
      </c>
      <c r="G55" s="10"/>
    </row>
    <row r="56" spans="1:7" ht="18" customHeight="1" thickBot="1">
      <c r="A56" s="40"/>
      <c r="B56" s="41" t="s">
        <v>51</v>
      </c>
      <c r="C56" s="40"/>
      <c r="D56" s="40"/>
      <c r="E56" s="58"/>
      <c r="F56" s="58">
        <f>SUM(F50:F55)</f>
        <v>0</v>
      </c>
      <c r="G56" s="40"/>
    </row>
    <row r="57" spans="1:7" ht="18" customHeight="1">
      <c r="E57" s="54"/>
      <c r="F57" s="54"/>
    </row>
    <row r="58" spans="1:7" ht="18" customHeight="1" thickBot="1">
      <c r="A58" s="129" t="s">
        <v>98</v>
      </c>
      <c r="B58" s="129"/>
      <c r="C58" s="129"/>
      <c r="E58" s="53"/>
      <c r="F58" s="53"/>
    </row>
    <row r="59" spans="1:7" ht="18" customHeight="1">
      <c r="A59" s="42" t="s">
        <v>52</v>
      </c>
      <c r="B59" s="42" t="s">
        <v>53</v>
      </c>
      <c r="C59" s="42"/>
      <c r="D59" s="42"/>
      <c r="E59" s="59"/>
      <c r="F59" s="59" t="s">
        <v>36</v>
      </c>
      <c r="G59" s="42" t="s">
        <v>37</v>
      </c>
    </row>
    <row r="60" spans="1:7" ht="18" customHeight="1">
      <c r="A60" s="10">
        <v>1</v>
      </c>
      <c r="B60" s="43" t="s">
        <v>99</v>
      </c>
      <c r="C60" s="10"/>
      <c r="D60" s="10"/>
      <c r="E60" s="16"/>
      <c r="F60" s="16">
        <f>F56</f>
        <v>0</v>
      </c>
      <c r="G60" s="10"/>
    </row>
    <row r="61" spans="1:7" ht="18" customHeight="1">
      <c r="A61" s="10">
        <v>2</v>
      </c>
      <c r="B61" s="43" t="s">
        <v>100</v>
      </c>
      <c r="C61" s="10"/>
      <c r="D61" s="10"/>
      <c r="E61" s="16"/>
      <c r="F61" s="16">
        <f>F25+G45</f>
        <v>0</v>
      </c>
      <c r="G61" s="10"/>
    </row>
    <row r="62" spans="1:7" ht="18" customHeight="1" thickBot="1">
      <c r="A62" s="44"/>
      <c r="B62" s="45" t="s">
        <v>101</v>
      </c>
      <c r="C62" s="44"/>
      <c r="D62" s="44"/>
      <c r="E62" s="60"/>
      <c r="F62" s="60">
        <f>F60-F61</f>
        <v>0</v>
      </c>
      <c r="G62" s="44"/>
    </row>
    <row r="63" spans="1:7" ht="18" customHeight="1">
      <c r="F63" s="61"/>
    </row>
    <row r="64" spans="1:7" ht="18" customHeight="1">
      <c r="D64" s="127"/>
      <c r="E64" s="127"/>
      <c r="F64" s="127"/>
      <c r="G64" s="127"/>
    </row>
    <row r="65" spans="1:7" ht="18" customHeight="1">
      <c r="A65" s="128"/>
      <c r="B65" s="128"/>
      <c r="C65" s="128"/>
      <c r="D65" s="128"/>
      <c r="E65" s="128"/>
      <c r="F65" s="128"/>
      <c r="G65" s="128"/>
    </row>
    <row r="66" spans="1:7" ht="18" customHeight="1"/>
    <row r="67" spans="1:7" ht="18" customHeight="1"/>
    <row r="68" spans="1:7" ht="18" customHeight="1"/>
    <row r="69" spans="1:7" ht="18" customHeight="1"/>
    <row r="70" spans="1:7" ht="18" customHeight="1"/>
    <row r="71" spans="1:7" ht="18" customHeight="1"/>
    <row r="72" spans="1:7" ht="18" customHeight="1"/>
    <row r="73" spans="1:7" ht="18" customHeight="1"/>
    <row r="74" spans="1:7" ht="18" customHeight="1"/>
  </sheetData>
  <mergeCells count="9">
    <mergeCell ref="A65:C65"/>
    <mergeCell ref="D65:G65"/>
    <mergeCell ref="A3:G3"/>
    <mergeCell ref="A5:C5"/>
    <mergeCell ref="A27:C27"/>
    <mergeCell ref="A48:C48"/>
    <mergeCell ref="A58:C58"/>
    <mergeCell ref="D64:G64"/>
    <mergeCell ref="A45:B45"/>
  </mergeCells>
  <pageMargins left="0.2" right="0.25" top="0.16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Initial year</vt:lpstr>
      <vt:lpstr>Farm_Background</vt:lpstr>
      <vt:lpstr>Initial Investment</vt:lpstr>
      <vt:lpstr>Coffee_Cost Data</vt:lpstr>
      <vt:lpstr>Intercrop_Cost Data</vt:lpstr>
      <vt:lpstr>Revenue_Data</vt:lpstr>
      <vt:lpstr>Data_Validation</vt:lpstr>
      <vt:lpstr>Coffee</vt:lpstr>
      <vt:lpstr>Intercrop</vt:lpstr>
      <vt:lpstr>Coffee_Input</vt:lpstr>
      <vt:lpstr>Coffee_Labour</vt:lpstr>
      <vt:lpstr>Initial_Investment_Input</vt:lpstr>
      <vt:lpstr>Initial_Investment_Labour</vt:lpstr>
      <vt:lpstr>Intercrop_Input</vt:lpstr>
      <vt:lpstr>Intercrop_Labour</vt:lpstr>
      <vt:lpstr>Revenue_Form_Coffee</vt:lpstr>
      <vt:lpstr>Revenue_Form_Intercrop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NGV - Nguyen Thi Thu Thuy</dc:creator>
  <cp:lastModifiedBy>NGV - Trang Lieu</cp:lastModifiedBy>
  <dcterms:created xsi:type="dcterms:W3CDTF">2026-02-25T04:20:43Z</dcterms:created>
  <dcterms:modified xsi:type="dcterms:W3CDTF">2026-03-23T09:40:17Z</dcterms:modified>
</cp:coreProperties>
</file>